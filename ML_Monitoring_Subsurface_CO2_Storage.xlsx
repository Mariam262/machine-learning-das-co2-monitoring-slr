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hp\Desktop\data DAS\ETSCON\"/>
    </mc:Choice>
  </mc:AlternateContent>
  <xr:revisionPtr revIDLastSave="0" documentId="13_ncr:1_{D5B6F7C6-5882-47C6-B41D-A5E3562BADB2}" xr6:coauthVersionLast="47" xr6:coauthVersionMax="47" xr10:uidLastSave="{00000000-0000-0000-0000-000000000000}"/>
  <bookViews>
    <workbookView xWindow="-108" yWindow="-108" windowWidth="23256" windowHeight="12456" tabRatio="784" xr2:uid="{00000000-000D-0000-FFFF-FFFF00000000}"/>
  </bookViews>
  <sheets>
    <sheet name="Readme" sheetId="12" r:id="rId1"/>
    <sheet name="Databases" sheetId="7" r:id="rId2"/>
    <sheet name="Reference Type" sheetId="6" r:id="rId3"/>
    <sheet name="Years" sheetId="5" r:id="rId4"/>
    <sheet name="#E&amp;QA" sheetId="8" r:id="rId5"/>
    <sheet name="Variations" sheetId="9" r:id="rId6"/>
    <sheet name="Techniques" sheetId="10" r:id="rId7"/>
    <sheet name="Metrics" sheetId="11" r:id="rId8"/>
    <sheet name="4 Included" sheetId="1" r:id="rId9"/>
    <sheet name="3 Eligibility" sheetId="4" r:id="rId10"/>
    <sheet name="2 Screening" sheetId="3" r:id="rId11"/>
    <sheet name="1 Identification" sheetId="2" r:id="rId12"/>
  </sheets>
  <definedNames>
    <definedName name="_xlchart.v1.0" hidden="1">Techniques!$A$2:$B$15</definedName>
    <definedName name="_xlchart.v1.1" hidden="1">Techniques!$C$2:$C$15</definedName>
    <definedName name="_xlchart.v1.2" hidden="1">Techniques!$D$2:$D$15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6" l="1"/>
  <c r="B8" i="5"/>
</calcChain>
</file>

<file path=xl/sharedStrings.xml><?xml version="1.0" encoding="utf-8"?>
<sst xmlns="http://schemas.openxmlformats.org/spreadsheetml/2006/main" count="4938" uniqueCount="1029">
  <si>
    <t>Authors</t>
  </si>
  <si>
    <t>Author full names</t>
  </si>
  <si>
    <t>Author(s) ID</t>
  </si>
  <si>
    <t>Title</t>
  </si>
  <si>
    <t>Year</t>
  </si>
  <si>
    <t>Source title</t>
  </si>
  <si>
    <t>Volume</t>
  </si>
  <si>
    <t>Issue</t>
  </si>
  <si>
    <t>Art. No.</t>
  </si>
  <si>
    <t>Page start</t>
  </si>
  <si>
    <t>Page end</t>
  </si>
  <si>
    <t>Cited by</t>
  </si>
  <si>
    <t>DOI</t>
  </si>
  <si>
    <t>Link</t>
  </si>
  <si>
    <t>Document Type</t>
  </si>
  <si>
    <t>Publication Stage</t>
  </si>
  <si>
    <t>Open Access</t>
  </si>
  <si>
    <t>Source</t>
  </si>
  <si>
    <t>EID</t>
  </si>
  <si>
    <t>Dataset</t>
  </si>
  <si>
    <t>Methodolgy</t>
  </si>
  <si>
    <t>Model</t>
  </si>
  <si>
    <t>Technique</t>
  </si>
  <si>
    <t>Results</t>
  </si>
  <si>
    <t>Davoodi S.; Vo Thanh H.; Wood D.A.; Mehrad M.; Al-Shargabi M.; Rukavishnikov V.S.</t>
  </si>
  <si>
    <t>Davoodi, Shadfar (57200278629); Vo Thanh, Hung (57208342673); Wood, David A. (55468916000); Mehrad, Mohammad (57216658518); Al-Shargabi, Mohammed (57457024600); Rukavishnikov, Valeriy S. (57212380944)</t>
  </si>
  <si>
    <t>57200278629; 57208342673; 55468916000; 57216658518; 57457024600; 57212380944</t>
  </si>
  <si>
    <t>Machine learning insights to CO2-EOR and storage simulations through a five-spot pattern – a theoretical study</t>
  </si>
  <si>
    <t>Expert Systems with Applications</t>
  </si>
  <si>
    <t>123944</t>
  </si>
  <si>
    <t>10.1016/j.eswa.2024.123944</t>
  </si>
  <si>
    <t>https://www.scopus.com/inward/record.uri?eid=2-s2.0-85190311358&amp;doi=10.1016%2Fj.eswa.2024.123944&amp;partnerID=40&amp;md5=ee64c1dc30ddbc3518c228d94df8f827</t>
  </si>
  <si>
    <t>Article</t>
  </si>
  <si>
    <t>Final</t>
  </si>
  <si>
    <t>Scopus</t>
  </si>
  <si>
    <t>2-s2.0-85190311358</t>
  </si>
  <si>
    <t>Fotias S.P.; Ismail I.; Gaganis V.</t>
  </si>
  <si>
    <t>Fotias, Sofianos Panagiotis (58028112600); Ismail, Ismail (57205514872); Gaganis, Vassilis (6602650085)</t>
  </si>
  <si>
    <t>58028112600; 57205514872; 6602650085</t>
  </si>
  <si>
    <t>Optimization of Well Placement in Carbon Capture and Storage (CCS): Bayesian Optimization Framework under Permutation Invariance</t>
  </si>
  <si>
    <t>Applied Sciences (Switzerland)</t>
  </si>
  <si>
    <t>3528</t>
  </si>
  <si>
    <t>10.3390/app14083528</t>
  </si>
  <si>
    <t>https://www.scopus.com/inward/record.uri?eid=2-s2.0-85192554966&amp;doi=10.3390%2Fapp14083528&amp;partnerID=40&amp;md5=d4aba20c1dd3c79467e9d35ff7ba8f37</t>
  </si>
  <si>
    <t>All Open Access; Gold Open Access; Green Open Access</t>
  </si>
  <si>
    <t>2-s2.0-85192554966</t>
  </si>
  <si>
    <t>Tomasov A.; Zaviska P.; Dejdar P.; Klicnik O.; Horvath T.; Munster P.</t>
  </si>
  <si>
    <t>Tomasov, Adrian (57218878297); Zaviska, Pavel (57202503471); Dejdar, Petr (57210594652); Klicnik, Ondrej (57426123400); Horvath, Tomas (56531516200); Munster, Petr (54380704400)</t>
  </si>
  <si>
    <t>57218878297; 57202503471; 57210594652; 57426123400; 56531516200; 54380704400</t>
  </si>
  <si>
    <t>Comprehensive Dataset for Event Classification Using Distributed Acoustic Sensing (DAS) Systems</t>
  </si>
  <si>
    <t xml:space="preserve">Scientific Data </t>
  </si>
  <si>
    <t>10.1038/s41597-025-05088-4</t>
  </si>
  <si>
    <t>https://www.scopus.com/inward/record.uri?eid=2-s2.0-105005438057&amp;doi=10.1038%2Fs41597-025-05088-4&amp;partnerID=40&amp;md5=a9b9ad4e8f567770b5265660969d9af0</t>
  </si>
  <si>
    <t>2-s2.0-105005438057</t>
  </si>
  <si>
    <t>Dolya A.; Abdykadyrov A.; Tulembayev A.; Kassenov D.; Kuttybayeva A.</t>
  </si>
  <si>
    <t>Dolya, Alexandr (57223590329); Abdykadyrov, Askar (57193439934); Tulembayev, Alizhan (55795954700); Kassenov, Dauren (57220953995); Kuttybayeva, Ainur (56786346300)</t>
  </si>
  <si>
    <t>57223590329; 57193439934; 55795954700; 57220953995; 56786346300</t>
  </si>
  <si>
    <t>Development of Distributed Acoustic Sensing for Environmental Monitoring and Hazard Detection on Robotic Platforms</t>
  </si>
  <si>
    <t>10.3390/app16031559</t>
  </si>
  <si>
    <t>https://www.scopus.com/inward/record.uri?eid=2-s2.0-105030096663&amp;doi=10.3390%2Fapp16031559&amp;partnerID=40&amp;md5=45db1e00ef176790fffae2cb674a6e27</t>
  </si>
  <si>
    <t>2-s2.0-105030096663</t>
  </si>
  <si>
    <t>All Open Access; Gold Open Access</t>
  </si>
  <si>
    <t>2-s2.0-105008413580</t>
  </si>
  <si>
    <t>https://www.scopus.com/inward/record.uri?eid=2-s2.0-105008413580&amp;doi=10.14569%2FIJACSA.2025.0160518&amp;partnerID=40&amp;md5=f84d0048c4b792ae95aaa6a9cb8e0947</t>
  </si>
  <si>
    <t>10.14569/IJACSA.2025.0160518</t>
  </si>
  <si>
    <t>International Journal of Advanced Computer Science and Applications</t>
  </si>
  <si>
    <t>Exploring Research Trends in Distributed Acoustic Sensing with Machine Learning and Deep Learning: A Bibliometric Analysis of Themes and Emerging Topics</t>
  </si>
  <si>
    <t>59513029100; 16642666200</t>
  </si>
  <si>
    <t>Krishnan, Nor Farisha Muhamad (59513029100); Jaafar, Jafreezal (16642666200)</t>
  </si>
  <si>
    <t>Krishnan N.F.M.; Jaafar J.</t>
  </si>
  <si>
    <t>Conference paper</t>
  </si>
  <si>
    <t>2-s2.0-105018108388</t>
  </si>
  <si>
    <t>https://www.scopus.com/inward/record.uri?eid=2-s2.0-105018108388&amp;doi=10.3997%2F2214-4609.202539072&amp;partnerID=40&amp;md5=4ad98d67869b55fabc0dacff453b741b</t>
  </si>
  <si>
    <t>10.3997/2214-4609.202539072</t>
  </si>
  <si>
    <t>5th EAGE Digitalization Conference and Exhibition</t>
  </si>
  <si>
    <t>Automated Anomaly Detection Applied to DTS Data: A Case Study from Quest CCS</t>
  </si>
  <si>
    <t>24598055900; 60131658900; 60131659000</t>
  </si>
  <si>
    <t>Minisini, S. (24598055900); Ten, M. (60131658900); Mantilla, C. (60131659000)</t>
  </si>
  <si>
    <t>Minisini S.; Ten M.; Mantilla C.</t>
  </si>
  <si>
    <t>Bellezza C.; Barison E.; Farina B.; Poletto F.; Meneghini F.; Böhm G.; Draganov D.; Janssen M.T.G.; van Otten G.; Stork A.L.; Chalari A.; Schleifer A.; Durucan S.</t>
  </si>
  <si>
    <t>Bellezza, Cinzia (6508245930); Barison, Erika (57203833108); Farina, Biancamaria (23099760000); Poletto, Flavio (55880858200); Meneghini, Fabio (24169182500); Böhm, Gualtiero (7101976806); Draganov, Deyan (6603662680); Janssen, Martijn T. G. (57203090009); van Otten, Gijs (57983838200); Stork, Anna L. (14049069300); Chalari, Athena (56398461200); Schleifer, Andrea (16837035900); Durucan, Sevket (6602844649)</t>
  </si>
  <si>
    <t>6508245930; 57203833108; 23099760000; 55880858200; 24169182500; 7101976806; 6603662680; 57203090009; 57983838200; 14049069300; 56398461200; 16837035900; 6602844649</t>
  </si>
  <si>
    <t>Multi-Sensor Seismic Processing Approach Using Geophones and HWC DAS in the Monitoring of CO2 Storage at the Hellisheiði Geothermal Field in Iceland</t>
  </si>
  <si>
    <t>Sustainability (Switzerland)</t>
  </si>
  <si>
    <t>10.3390/su16020877</t>
  </si>
  <si>
    <t>https://www.scopus.com/inward/record.uri?eid=2-s2.0-85183344629&amp;doi=10.3390%2Fsu16020877&amp;partnerID=40&amp;md5=6d6bdfcc84e04662037bed656a1897f7</t>
  </si>
  <si>
    <t>2-s2.0-85183344629</t>
  </si>
  <si>
    <t>9 reservoir input variables, data from the CMG-GEM simulator, outlier exclusion (520 CO₂ storage and 439 oil production records).</t>
  </si>
  <si>
    <t>Machine learning models trained and tested with the dataset, outlier removal using Mahalanobis distance.</t>
  </si>
  <si>
    <t>Mahalanobis distance: Used to identify and exclude outlier data points, enhancing the reliability of the training data.
Evaluation metrics: Root Mean Square Error (RMSE) was used to measure prediction accuracy.</t>
  </si>
  <si>
    <t>LSSVM achieved low RMSE for CO₂ storage mass (0.7811 million mt) and oil production (10.1245 million barrels).</t>
  </si>
  <si>
    <t>Synthetic Aquifer Dataset: The study involves a synthetic aquifer with varying permeability in different layers. The input variables come from the aquifer's characteristics (such as pressure, salinity, and porosity).
Data Inputs for Optimization: Includes well placement coordinates, and the injection/production rates for CO₂ sequestration.</t>
  </si>
  <si>
    <t>Bayesian Optimization to optimize well placement under constraints (pressure, breakthrough).</t>
  </si>
  <si>
    <t>Bayesian Optimization with Gaussian Process Regression (GP).</t>
  </si>
  <si>
    <t>Kernel modification to handle permutation invariance, and acquisition functions for efficient exploration.</t>
  </si>
  <si>
    <t>Achieved 80% of the theoretical sequestration target, with a notable improvement in well placement efficiency.</t>
  </si>
  <si>
    <t>The dataset consists of acoustic data from environmental monitoring and hazard detection using Distributed Acoustic Sensing (DAS).
Experimental conditions: The data comes from laboratory tests and field trials, specifically in environments with uneven terrain and mobile robotic platforms.</t>
  </si>
  <si>
    <t>Anti-jitter signal processing, time-frequency analysis, edge-based inference for real-time processing.</t>
  </si>
  <si>
    <t>Edge Computing: Integrated for real-time data processing on the robotic platform, enhancing latency and improving the overall responsiveness.
Federated Learning: Proposed as a system-level extension for multi-robot collaboration, allowing model adaptation without sharing raw data.</t>
  </si>
  <si>
    <t>Anti-jitter processing: Specifically designed for robot-induced motion. This enables the system to suppress vibrations that could interfere with weak external signals</t>
  </si>
  <si>
    <t>Experimental results:
Signal detection: The system reliably detected weak acoustic signals in the 10–200 Hz range under mobile robotic conditions.
Detection reliability: The system maintained 95% reliability with an error rate of ≤5% for single-mode fiber and 8–10% for multi-mode fiber.
Latency: Reduced from 200 ms to 80–100 ms with Edge Computing, demonstrating a 60% improvement.
Detection range: Capable of detecting acoustic events up to 25–30 meters with high sensitivity (strain sensitivity of 10⁻⁹ ε/√Hz).</t>
  </si>
  <si>
    <t>Real DAS dataset (not synthetic)
Collected using:
Φ-OTDR system (OptaSense DAS interrogator)
Fiber setup:
buried 1 m underground (campus environment)
Sampling:
pulse rate: 20 kHz
spatial resolution: ~1 m
channels: 1663</t>
  </si>
  <si>
    <t>Data acquisition:
Controlled + real events (walking, cars, etc.)
Operator visually validated events
Labeling method:
Based on:
Band-limited signal power (Pband)
Manual annotation:
single expert → consistency ensured
Noise filtering:
FFT-based filtering to remove flat/noisy signal</t>
  </si>
  <si>
    <t>CNN (Convolutional Neural Network)</t>
  </si>
  <si>
    <t>Φ-OTDR DAS sensing
Spectral feature extraction (DFT)
Band-limited power analysis (50–500 Hz)
Sliding window segmentation
CNN-based classification</t>
  </si>
  <si>
    <t>Accuracy: 91.4%
Precision: 85.7%
Recall: 88.2%
F1-score: 86.8%</t>
  </si>
  <si>
    <t>Real CCS field data from the Quest commercial carbon capture and storage site in Alberta, Canada.
The site had stored about 8.8 million metric tons of CO₂ at the time of the study.
Data type is Distributed Temperature Sensing (DTS), acquired in three CO₂ injection wells since 2015, across all depths, using a fiber-optic system behind casing.
The paper says over 200 million temperature measurements were recorded</t>
  </si>
  <si>
    <t>They built an automated machine learning anomaly-detection workflow for CO₂ containment monitoring using DTS data.
The workflow first predicts the expected temperature response, then checks for deviations from normal behavior to flag anomalies.
Sensitivity was tested with a pseudo-empirical model, where real field data were combined with synthetic anomalies.
They also discuss real-time deployment of the workflow.</t>
  </si>
  <si>
    <t>Random Forests</t>
  </si>
  <si>
    <t>Fiber-optic DTS monitoring in CCS injection wells.</t>
  </si>
  <si>
    <t>The workflow could detect deviations as small as 0.5 degrees, aggregated over target depths</t>
  </si>
  <si>
    <t>Field-scale CO₂ injection monitoring data from Hellisheiði geothermal field (Iceland)
Multi-sensor dataset:
HWC DAS (fiber-optic distributed acoustic sensing)
3C SmartSolo geophones
2C geophones (TUD line)
Active seismic acquisition:
~2 km survey line
59 vibration points (VPs), 16 stacks per VP
Total data ≈ 770 GB, 4225 Mega-trace</t>
  </si>
  <si>
    <t>Active seismic acquisition
E-Vibe source + DAS + geophones</t>
  </si>
  <si>
    <t>Physics-based geophysical model (not AI/ML)</t>
  </si>
  <si>
    <t>High-resolution subsurface imaging using fiber-optic sensing</t>
  </si>
  <si>
    <t>Successful reservoir imaging (700–1450 ms), DAS validated vs geophones</t>
  </si>
  <si>
    <t>The “dataset” is actually a bibliographic dataset from Scopus.
It analysed 323 documents published between 2011 and 2023</t>
  </si>
  <si>
    <t>The authors performed a bibliometric analysis to map publication trends, key contributors, and major research themes in DAS + ML/DL.
They used the bibliometrix R package for the analysis.</t>
  </si>
  <si>
    <t>No predictive ML model was developed by the authors in this paper.
This is a review / trend-analysis paper, so its “model” is bibliometric analysis rather than CNN, LSTM, RF, SVM, etc</t>
  </si>
  <si>
    <t>Bibliometric mapping / trend analysis</t>
  </si>
  <si>
    <t>Growth in publications; major themes include seismic monitoring, pipeline security, and infrastructure monitoring</t>
  </si>
  <si>
    <t>2-s2.0-105010300167</t>
  </si>
  <si>
    <t>https://www.scopus.com/pages/publications/105010300167?origin=resultslist</t>
  </si>
  <si>
    <t>10.3390/s25134180</t>
  </si>
  <si>
    <t>Sensors</t>
  </si>
  <si>
    <t>An Analysis of Railway Activity Using Distributed Optical Fiber Acoustic Sensing</t>
  </si>
  <si>
    <t>59986335800; 7006509795; 59985737400; 59985888300</t>
  </si>
  <si>
    <t>Du, Thurian Le (59986335800); Hartog, Arthur (7006509795); Hilton, Graeme (59985737400); Didelet, Roman (59985888300)</t>
  </si>
  <si>
    <t>Du T.L.; Hartog A.; Hilton G.; Didelet R.</t>
  </si>
  <si>
    <t>https://www.scopus.com/pages/publications/105005438057?origin=resultslist</t>
  </si>
  <si>
    <t>2-s2.0-105023488233</t>
  </si>
  <si>
    <t>https://www.scopus.com/pages/publications/105023488233?origin=resultslist</t>
  </si>
  <si>
    <t>10.3390/technologies13110514</t>
  </si>
  <si>
    <t>Technologies</t>
  </si>
  <si>
    <t>Intelligent Feature Extraction and Event Classification in Distributed Acoustic Sensing Using Wavelet Packet Decomposition</t>
  </si>
  <si>
    <t>59188429800; 59468872100; 59966091900; 58510622700; 7801578961; 38663343800</t>
  </si>
  <si>
    <t>Kozmin, Artem (59188429800); Borozdin, Pavel (59468872100); Chernenko, Alexey (59966091900); Gostilovich, Sergei (58510622700); Kalashev, Oleg (7801578961); Redyuk, Alexey (38663343800)</t>
  </si>
  <si>
    <t>Kozmin A.; Borozdin P.; Chernenko A.; Gostilovich S.; Kalashev O.; Redyuk A.</t>
  </si>
  <si>
    <t>2-s2.0-105029235231</t>
  </si>
  <si>
    <t>https://www.scopus.com/pages/publications/105029235231?origin=resultslist</t>
  </si>
  <si>
    <t>10.1145/3743158.3783853</t>
  </si>
  <si>
    <t>ICICA 2025 - Proceedings of the 14th International Conference on Information Communication and Applications</t>
  </si>
  <si>
    <t>Machine Learning for Micro-seismic Event Detection: A Comparative Study of Spiking, Graph and Convolution Neural Network on Distributed Acoustic Sensing Data</t>
  </si>
  <si>
    <t>59256483400; 24734216700; 16642666200</t>
  </si>
  <si>
    <t>Shahabudin, Mohd Safuwan (59256483400); Paputungan, Irving Vitra (24734216700); Jaafar, Jafreezal (16642666200)</t>
  </si>
  <si>
    <t>Shahabudin M.S.; Paputungan I.V.; Jaafar J.</t>
  </si>
  <si>
    <t>2-s2.0-105023664663</t>
  </si>
  <si>
    <t>https://www.scopus.com/pages/publications/105023664663?origin=resultslist</t>
  </si>
  <si>
    <t>10.1109/AiDAS67696.2025.11213822</t>
  </si>
  <si>
    <t>2025 6th International Conference on Artificial Intelligence and Data Sciences: From Insights To Impact: Leveraging AI And Data Science For Strategic Decisions, AiDAS 2025 - Conference Proceedings</t>
  </si>
  <si>
    <t>Data Quality Assessment of Distributed Acoustic Sensing for CO2 Leak Detection Using Machine Learning</t>
  </si>
  <si>
    <t>57216339636; 57195273484; 55057475700; 57208809529; 59950573700; 60221797000</t>
  </si>
  <si>
    <t>Ul Hassan, Shoaib (57216339636); Talpur, Noureen (57195273484); Hasan, Mohd Hilmi (55057475700); Abdullah, Mohd Hafizul Afifi (57208809529); Chowdhury, Md Tahmid Ashraf (59950573700); Khan, Ambreen (60221797000)</t>
  </si>
  <si>
    <t>Ul Hassan S.; Talpur N.; Hasan M.H.; Abdullah M.H.A.; Chowdhury M.T.A.; Khan A.</t>
  </si>
  <si>
    <t>2-s2.0-105032193890</t>
  </si>
  <si>
    <t>https://www.scopus.com/pages/publications/105032193890?origin=resultslist</t>
  </si>
  <si>
    <t>10.1364/JOCN.584158</t>
  </si>
  <si>
    <t>B32</t>
  </si>
  <si>
    <t>B19</t>
  </si>
  <si>
    <t>Journal of Optical Communications and Networking</t>
  </si>
  <si>
    <t>Intelligent on-line railway maintenance based on distributed acoustic sensing and machine learning</t>
  </si>
  <si>
    <t>58286863700; 7410267070; 60408582500; 59757283900; 57221562724; 57216770807; 37087988600; 59741604600</t>
  </si>
  <si>
    <t>Yao, Yuanyuan (58286863700); Zhang, Xuping (7410267070); Mazhar, Nasheeta (60408582500); Yuan, Nuo (59757283900); Zhou, Xiao (57221562724); Zhang, Dao (57216770807); Zhang, Yixin (37087988600); Dong, Zhijie Sasha (59741604600)</t>
  </si>
  <si>
    <t>Yao Y.; Zhang X.; Mazhar N.; Yuan N.; Zhou X.; Zhang D.; Zhang Y.; Dong Z.S.</t>
  </si>
  <si>
    <t>2-s2.0-105032365127</t>
  </si>
  <si>
    <t>https://www.scopus.com/pages/publications/105032365127?origin=resultslist</t>
  </si>
  <si>
    <t>10.1051/aacus/2026008</t>
  </si>
  <si>
    <t>Acta Acustica</t>
  </si>
  <si>
    <t>Passive acoustic detection and localization of drones using MEMS microphones and machine learning</t>
  </si>
  <si>
    <t>Ghouli, Zakaria (57192894122)</t>
  </si>
  <si>
    <t>Ghouli Z.</t>
  </si>
  <si>
    <t>https://www.scopus.com/pages/publications/105030096663?origin=resultslist</t>
  </si>
  <si>
    <t>2-s2.0-105010312353</t>
  </si>
  <si>
    <t>https://www.scopus.com/pages/publications/105010312353?origin=resultslist</t>
  </si>
  <si>
    <t>10.3390/s25133992</t>
  </si>
  <si>
    <t>Real-Time Railway Hazard Detection Using Distributed Acoustic Sensing and Hybrid Ensemble Learning</t>
  </si>
  <si>
    <t>59985871700; 56274512200; 57222404501</t>
  </si>
  <si>
    <t>Yürekli, Yusuf (59985871700); Özarpa, Cevat (56274512200); Avcı, İsa (57222404501)</t>
  </si>
  <si>
    <t>Yürekli Y.; Özarpa C.; Avcı İ.</t>
  </si>
  <si>
    <t>https://www.scopus.com/pages/publications/105008413580?origin=resultslist</t>
  </si>
  <si>
    <t>Mao Y.; Ashry I.; Wang B.; Al-Fehaid Y.; Al-Shawaf A.; Ng T.K.; Yu C.; Ooi B.S.</t>
  </si>
  <si>
    <t>Mao, Yuan (57209928957); Ashry, Islam (57192974979); Wang, Biwei (57201121466); Al-Fehaid, Yousef (57215036057); Al-Shawaf, Abdulmoneim (57223002181); Ng, Tien Khee (7402229824); Yu, Changyuan (57190397484); Ooi, Boon S. (7202267249)</t>
  </si>
  <si>
    <t>57209928957; 57192974979; 57201121466; 57215036057; 57223002181; 7402229824; 57190397484; 7202267249</t>
  </si>
  <si>
    <t>Monitoring the Red Palm Weevil Infestation Using Machine Learning and Optical Sensing</t>
  </si>
  <si>
    <t>2021 Optical Fiber Communications Conference and Exhibition, OFC 2021 - Proceedings</t>
  </si>
  <si>
    <t>https://www.scopus.com/pages/publications/85112072066?origin=resultslist</t>
  </si>
  <si>
    <t>2-s2.0-85112072066</t>
  </si>
  <si>
    <t>Zhang T.; Peng X.; Liu Y.; Yin K.; Li P.</t>
  </si>
  <si>
    <t>Zhang, Tong (57395748700); Peng, Xinjie (57763044100); Liu, Yifan (60046067800); Yin, Kaiyang (56924585000); Li, Pengfei (57188718011)</t>
  </si>
  <si>
    <t>57395748700; 57763044100; 60046067800; 56924585000; 57188718011</t>
  </si>
  <si>
    <t>A Contrastive Representation Learning Method for Event Classification in Φ-OTDR Systems</t>
  </si>
  <si>
    <t>10.3390/s25154744</t>
  </si>
  <si>
    <t>https://www.scopus.com/pages/publications/105013164549?origin=resultslist</t>
  </si>
  <si>
    <t>2-s2.0-105013164549</t>
  </si>
  <si>
    <t>Timofeev A.V.; Groznov D.I.</t>
  </si>
  <si>
    <t>Timofeev, Andrey V. (55248448500); Groznov, Denis I. (57218385022)</t>
  </si>
  <si>
    <t>55248448500; 57218385022</t>
  </si>
  <si>
    <t>Monitoring of infiltration processes in hydraulic structures using distributeacoustic sensing technology</t>
  </si>
  <si>
    <t>Scientific and Technical Journal of Information Technologies, Mechanics and Optics</t>
  </si>
  <si>
    <t>10.17586/2226-1494-2022-22-3-610-622</t>
  </si>
  <si>
    <t>https://www.scopus.com/pages/publications/85133187614?origin=resultslist</t>
  </si>
  <si>
    <t>2-s2.0-85133187614</t>
  </si>
  <si>
    <t>Choo K.Y.; Ngo H.Y.; Abdul Aziz N.A.; Jabidin H.Z.; Connie T.; Muniandy S.V.; Ibrahim S.A.; Abdul-Rashid H.A.; Mokhtar M.R.; Zan M.S.D.</t>
  </si>
  <si>
    <t>Choo, Kan Yeep (7102083264); Ngo, Hong Yeap (59515293800); Abdul Aziz, Nurul Ain (59515862900); Jabidin, Hafiz Zulhazmi (59161387200); Connie, Tee (6508018670); Muniandy, Sithi Vinayakam (6603562059); Ibrahim, Siti Azlida (24483537000); Abdul-Rashid, Hairul A. (8689253200); Mokhtar, Mohd Ridzuan (7007176527); Zan, Mohd Saiful Dzulkefly (24767242400)</t>
  </si>
  <si>
    <t>7102083264; 59515293800; 59515862900; 59161387200; 6508018670; 6603562059; 24483537000; 8689253200; 7007176527; 24767242400</t>
  </si>
  <si>
    <t>Machine Learning-Based Classification of Hand Tool Vibrations Using Distributed Fiber Optic Sensors for Road Health Monitoring</t>
  </si>
  <si>
    <t>2024 Multimedia University Engineering Conference, MECON 2024</t>
  </si>
  <si>
    <t>10.1109/MECON62796.2024.10776462</t>
  </si>
  <si>
    <t>https://www.scopus.com/pages/publications/85215131109?origin=resultslist</t>
  </si>
  <si>
    <t>2-s2.0-85215131109</t>
  </si>
  <si>
    <t>Ashry I.; Wang B.; Mao Y.; Sait M.; Guo Y.; Al-Fehaid Y.; Al-Shawaf A.; Ng T.K.; Ooi B.S.</t>
  </si>
  <si>
    <t>Ashry, Islam (57192974979); Wang, Biwei (57201121466); Mao, Yuan (57209928957); Sait, Mohammed (57208187051); Guo, Yujian (57192008838); Al-Fehaid, Yousef (57215036057); Al-Shawaf, Abdulmoneim (57223002181); Ng, Tien Khee (7402229824); Ooi, Boon S. (7202267249)</t>
  </si>
  <si>
    <t>57192974979; 57201121466; 57209928957; 57208187051; 57192008838; 57215036057; 57223002181; 7402229824; 7202267249</t>
  </si>
  <si>
    <t>CNN–Aided Optical Fiber Distributed Acoustic Sensing for Early Detection of Red Palm Weevil: A Field Experiment †</t>
  </si>
  <si>
    <t>10.3390/s22176491</t>
  </si>
  <si>
    <t>https://www.scopus.com/pages/publications/85137571140?origin=resultslist</t>
  </si>
  <si>
    <t>2-s2.0-85137571140</t>
  </si>
  <si>
    <t>Brankovic M.; Gildin E.; Gibson R.L.; Everett M.E.</t>
  </si>
  <si>
    <t>Brankovic, Milan (57215305204); Gildin, Eduardo (8309621500); Gibson, Richard L. (7402124384); Everett, Mark E. (7102339353)</t>
  </si>
  <si>
    <t>57215305204; 8309621500; 7402124384; 7102339353</t>
  </si>
  <si>
    <t>A machine learning-based seismic data compression and interpretation using a novel shifted-matrix decomposition algorithm</t>
  </si>
  <si>
    <t>10.3390/app11114874</t>
  </si>
  <si>
    <t>https://www.scopus.com/pages/publications/85107561028?origin=resultslist</t>
  </si>
  <si>
    <t>2-s2.0-85107561028</t>
  </si>
  <si>
    <t>Martinez C.; Garcia L.; Titos M.; Carthy J.; Camacho J.; Mota S.; Benitez C.</t>
  </si>
  <si>
    <t>Martinez, Carlos (58584781800); Garcia, Luz (8931976400); Titos, Manuel (57188585877); Carthy, Joe (58737626000); Camacho, Jose (35363432300); Mota, Sonia (6603695686); Benitez, Carmen (7003485104)</t>
  </si>
  <si>
    <t>58584781800; 8931976400; 57188585877; 58737626000; 35363432300; 6603695686; 7003485104</t>
  </si>
  <si>
    <t>Generating a Mobility-Pattern Database for Urban Traffic Monitoring Using Distributed Acoustic Sensing</t>
  </si>
  <si>
    <t>International Geoscience and Remote Sensing Symposium (IGARSS)</t>
  </si>
  <si>
    <t>2023-July</t>
  </si>
  <si>
    <t>10.1109/IGARSS52108.2023.10282653</t>
  </si>
  <si>
    <t>https://www.scopus.com/pages/publications/85178337042?origin=resultslist</t>
  </si>
  <si>
    <t>2-s2.0-85178337042</t>
  </si>
  <si>
    <t>https://www.scopus.com/pages/publications/85183344629?origin=resultslist</t>
  </si>
  <si>
    <t>Chaudhary J.K.; Mahadev; Kumar A.; Kumar R.; Kumar A.</t>
  </si>
  <si>
    <t>Chaudhary, Jitendra Kumar (57885572200); Mahadev (57207357980); Kumar, Anil (56096607800); Kumar, Rahul (58541009000); Kumar, Ashok (57214420236)</t>
  </si>
  <si>
    <t>57885572200; 57207357980; 56096607800; 58541009000; 57214420236</t>
  </si>
  <si>
    <t>Photonic-Enhanced Fiber-Optic Sensor Networks for Large-Scale IoT Deployments</t>
  </si>
  <si>
    <t>Proceedings of the 2025 Optical Communication, Photonics, Telecommunications, and Intelligent Machine Applications, OPTIMA 2025</t>
  </si>
  <si>
    <t>10.1109/OPTIMA67660.2025.11380366</t>
  </si>
  <si>
    <t>https://www.scopus.com/pages/publications/105035385368?origin=resultslist</t>
  </si>
  <si>
    <t>2-s2.0-105035385368</t>
  </si>
  <si>
    <t>Shahriar M.H.; Wang N.; Ramakrishnan N.; Hou Y.T.; Lou W.</t>
  </si>
  <si>
    <t>Shahriar, Md Hasan (57209172783); Wang, Ning (57226634029); Ramakrishnan, Naren (35507966200); Hou, Y. Thomas (7402198673); Lou, Wenjing (60067722400)</t>
  </si>
  <si>
    <t>57209172783; 57226634029; 35507966200; 7402198673; 60067722400</t>
  </si>
  <si>
    <t>Let the Noise Speak: Harnessing Noise for a Unified Defense Against Adversarial and Backdoor Attacks</t>
  </si>
  <si>
    <t>Lecture Notes in Computer Science</t>
  </si>
  <si>
    <t>16053 LNCS</t>
  </si>
  <si>
    <t>10.1007/978-3-032-07884-1_19</t>
  </si>
  <si>
    <t>https://www.scopus.com/pages/publications/105020262098?origin=resultslist</t>
  </si>
  <si>
    <t>2-s2.0-105020262098</t>
  </si>
  <si>
    <t>Munster P.; Tomasov A.; Dejdar P.; Horvath T.; Klicnik O.</t>
  </si>
  <si>
    <t>Munster, Petr (54380704400); Tomasov, Adrian (57218878297); Dejdar, Petr (57210594652); Horvath, Tomas (56531516200); Klicnik, Ondrej (57426123400)</t>
  </si>
  <si>
    <t>54380704400; 57218878297; 57210594652; 56531516200; 57426123400</t>
  </si>
  <si>
    <t>Trends in Optical Network Security: from Common to Advanced Monitoring Technologies</t>
  </si>
  <si>
    <t>International Conference on Transparent Optical Networks</t>
  </si>
  <si>
    <t>10.1109/ICTON67126.2025.11125187</t>
  </si>
  <si>
    <t>https://www.scopus.com/pages/publications/105016102132?origin=resultslist</t>
  </si>
  <si>
    <t>2-s2.0-105016102132</t>
  </si>
  <si>
    <t>Corera I.; Piñeiro E.; Navallas J.; Sagues M.; Loayssa A.</t>
  </si>
  <si>
    <t>Corera, Iñigo (57193354073); Piñeiro, Enrique (36728077000); Navallas, Javier (35322916000); Sagues, Mikel (23393987800); Loayssa, Alayn (55968633000)</t>
  </si>
  <si>
    <t>57193354073; 36728077000; 35322916000; 23393987800; 55968633000</t>
  </si>
  <si>
    <t>Long-Range Traffic Monitoring Based on Pulse-Compression Distributed Acoustic Sensing and Advanced Vehicle Tracking and Classification Algorithm</t>
  </si>
  <si>
    <t>10.3390/s23063127</t>
  </si>
  <si>
    <t>https://www.scopus.com/pages/publications/85151185418?origin=resultslist</t>
  </si>
  <si>
    <t>2-s2.0-85151185418</t>
  </si>
  <si>
    <t>Drylerakis K.T.; Belal M.; Mestre R.; Norman T.J.; Evers C.</t>
  </si>
  <si>
    <t>Drylerakis, Konstantinos Theofilos (59400055200); Belal, Mohammad (35768999200); Mestre, Rafael (57191334843); Norman, Timothy J. (7101661916); Evers, Christine (24476173800)</t>
  </si>
  <si>
    <t>59400055200; 35768999200; 57191334843; 7101661916; 24476173800</t>
  </si>
  <si>
    <t>Source Detection and Tracking for Underwater Distributed Acoustic Sensing</t>
  </si>
  <si>
    <t>European Signal Processing Conference</t>
  </si>
  <si>
    <t>10.23919/eusipco63174.2024.10715378</t>
  </si>
  <si>
    <t>https://www.scopus.com/pages/publications/85208437534?origin=resultslist</t>
  </si>
  <si>
    <t>2-s2.0-85208437534</t>
  </si>
  <si>
    <t>Gamboa-Montero J.J.; Alonso-Martin F.; Marques-Villarroya S.; Sequeira J.; Salichs M.A.</t>
  </si>
  <si>
    <t>Gamboa-Montero, Juan Jose (57194276023); Alonso-Martin, Fernando (55215683700); Marques-Villarroya, Sara (57204553474); Sequeira, Joao (7006523955); Salichs, Miguel A. (6603829011)</t>
  </si>
  <si>
    <t>57194276023; 55215683700; 57204553474; 7006523955; 6603829011</t>
  </si>
  <si>
    <t>Asynchronous federated learning system for human–robot touch interaction</t>
  </si>
  <si>
    <t>10.1016/j.eswa.2022.118510</t>
  </si>
  <si>
    <t>https://www.scopus.com/pages/publications/85149881514?origin=resultslist</t>
  </si>
  <si>
    <t>All Open Access; Green Open Access; Hybrid Gold Open Access</t>
  </si>
  <si>
    <t>2-s2.0-85149881514</t>
  </si>
  <si>
    <t>Han S.; Huang M.-F.; Li T.; Kotrla S.; Mundt J.A.; Wang T.; Aono Y.</t>
  </si>
  <si>
    <t>Han, Shaobo (57226591830); Huang, Ming-Fang (35462720800); Li, Tingfeng (57226601289); Kotrla, Scott (36165669900); Mundt, Jeffrey A. (59965406100); Wang, Ting (59965266100); Aono, Yoshiaki (24572535900)</t>
  </si>
  <si>
    <t>57226591830; 35462720800; 57226601289; 36165669900; 59965406100; 59965266100; 24572535900</t>
  </si>
  <si>
    <t>Energy-based Generative Models for Distributed Acoustic Sensing Event Classification in Telecom Networks</t>
  </si>
  <si>
    <t>2025 European Conference on Optical Communications, ECOC 2025</t>
  </si>
  <si>
    <t>10.1109/ECOC66593.2025.11263015</t>
  </si>
  <si>
    <t>https://www.scopus.com/pages/publications/105031416850?origin=resultslist</t>
  </si>
  <si>
    <t>2-s2.0-105031416850</t>
  </si>
  <si>
    <t>Bykerk L.; Valls Miro J.</t>
  </si>
  <si>
    <t>Bykerk, Lili (57191668603); Valls Miro, Jaime (57199646578)</t>
  </si>
  <si>
    <t>57191668603; 57199646578</t>
  </si>
  <si>
    <t>Vibro-Acoustic Distributed Sensing for Large-Scale Data-Driven Leak Detection on Urban Distribution Mains</t>
  </si>
  <si>
    <t>10.3390/s22186897</t>
  </si>
  <si>
    <t>https://www.scopus.com/pages/publications/85138366245?origin=resultslist</t>
  </si>
  <si>
    <t>2-s2.0-85138366245</t>
  </si>
  <si>
    <t>Gonzalez-Herraez M.; Fernandez-Ruiz M.R.; Martins H.F.; Macias-Guarasa J.; Ramírez-Torres E.E.; Pizarro D.; Tejedor J.; Vidal-Moreno P.J.; Palazuelos-Cagigas S.E.; Lopez S.M.; Williams E.; Zhan Z.; Vantilho R.</t>
  </si>
  <si>
    <t>Gonzalez-Herraez, Miguel (6603650993); Fernandez-Ruiz, Maria R. (58055929000); Martins, Hugo F. (37124516000); Macias-Guarasa, Javier (12345467100); Ramírez-Torres, Erick E. (57194045504); Pizarro, Daniel (14422843800); Tejedor, Javier (6602125897); Vidal-Moreno, Pedro J. (57807687000); Palazuelos-Cagigas, Sira E. (57783653800); Lopez, Sonia Martin (59940693200); Williams, Ethan (57202353912); Zhan, Zhongwen (15833547800); Vantilho, Roel (57219395468)</t>
  </si>
  <si>
    <t>6603650993; 58055929000; 37124516000; 12345467100; 57194045504; 14422843800; 6602125897; 57807687000; 57783653800; 59940693200; 57202353912; 15833547800; 57219395468</t>
  </si>
  <si>
    <t>Distributed Acoustic Sensing in submarine optical fibers</t>
  </si>
  <si>
    <t>Proceedings of SPIE - The International Society for Optical Engineering</t>
  </si>
  <si>
    <t>136390E</t>
  </si>
  <si>
    <t>10.1117/12.3065984</t>
  </si>
  <si>
    <t>https://www.scopus.com/pages/publications/105007911782?origin=resultslist</t>
  </si>
  <si>
    <t>2-s2.0-105007911782</t>
  </si>
  <si>
    <t>Jacoby M.; Tan S.Y.; Katanbaf M.; Saffari A.; Saha H.; Kapetanovic Z.; Garland J.; Florita A.; Henze G.; Sarkar S.; Smith J.</t>
  </si>
  <si>
    <t>Jacoby, Margarite (57219483446); Tan, Sin Yong (57211026314); Katanbaf, Mohamad (57223808397); Saffari, Ali (57209248891); Saha, Homagni (57198510993); Kapetanovic, Zerina (56716491200); Garland, Jasmine (57385056400); Florita, Anthony (12243690500); Henze, Gregor (7102253211); Sarkar, Soumik (55066244300); Smith, Joshua (54421256200)</t>
  </si>
  <si>
    <t>57219483446; 57211026314; 57223808397; 57209248891; 57198510993; 56716491200; 57385056400; 12243690500; 7102253211; 55066244300; 54421256200</t>
  </si>
  <si>
    <t>Whisper: Wireless home identification and sensing platform for energy reduction</t>
  </si>
  <si>
    <t>Journal of Sensor and Actuator Networks</t>
  </si>
  <si>
    <t>10.3390/jsan10040071</t>
  </si>
  <si>
    <t>https://www.scopus.com/pages/publications/85121706600?origin=resultslist</t>
  </si>
  <si>
    <t>2-s2.0-85121706600</t>
  </si>
  <si>
    <t>Wang X.; Wang C.; Zhang F.; Jiang S.; Sun Z.; Yang Z.; Zhang H.; Liu Z.; Duan Z.</t>
  </si>
  <si>
    <t>Wang, Xiaodong (58747237700); Wang, Chang (8600595000); Zhang, Faxiang (35189981300); Jiang, Shaodong (37017300700); Sun, Zhihui (56123219600); Yang, Zhenguo (58128035300); Zhang, Hongyu (59064704000); Liu, Zhaoying (59448064600); Duan, Zhenhui (58548216500)</t>
  </si>
  <si>
    <t>58747237700; 8600595000; 35189981300; 37017300700; 56123219600; 58128035300; 59064704000; 59448064600; 58548216500</t>
  </si>
  <si>
    <t>Intrusion signal recognition method based on Φ-OTDR fiber distributed sensing research progress</t>
  </si>
  <si>
    <t>129680D</t>
  </si>
  <si>
    <t>10.1117/12.3000044</t>
  </si>
  <si>
    <t>https://www.scopus.com/pages/publications/85190145480?origin=resultslist</t>
  </si>
  <si>
    <t>2-s2.0-85190145480</t>
  </si>
  <si>
    <t>Masued N.; Özkan E.; Erkorkmaz T.</t>
  </si>
  <si>
    <t>Masued, Nagat (58040363300); Özkan, Erkan (57220178954); Erkorkmaz, Tayfun (57220189679)</t>
  </si>
  <si>
    <t>58040363300; 57220178954; 57220189679</t>
  </si>
  <si>
    <t>Maximum Eigenvalue-based detection in fiber-optic distributed acoustic sensors applications</t>
  </si>
  <si>
    <t>122710K</t>
  </si>
  <si>
    <t>10.1117/12.2638479</t>
  </si>
  <si>
    <t>https://www.scopus.com/pages/publications/85145436327?origin=resultslist</t>
  </si>
  <si>
    <t>2-s2.0-85145436327</t>
  </si>
  <si>
    <t>Rahman M.A.; Jaafar J.B.; Paputungan I.V.</t>
  </si>
  <si>
    <t>Rahman, Md Ashikur (60422460400); Jaafar, Jafreezal B. (16642666200); Paputungan, Irving V. (24734216700)</t>
  </si>
  <si>
    <t>60422460400; 16642666200; 24734216700</t>
  </si>
  <si>
    <t>Skip Unet Based Noise2Void Algorithm for the Denoising of Distributed Acoustic Sensing Data</t>
  </si>
  <si>
    <t>GCCE 2025 - 2025 IEEE 14th Global Conference on Consumer Electronics</t>
  </si>
  <si>
    <t>10.1109/GCCE65946.2025.11275519</t>
  </si>
  <si>
    <t>https://www.scopus.com/pages/publications/105031445673?origin=resultslist</t>
  </si>
  <si>
    <t>2-s2.0-105031445673</t>
  </si>
  <si>
    <t>Luong H.V.; Deligiannis N.; Wilhelm R.; Drapp B.</t>
  </si>
  <si>
    <t>Luong, Huynh Van (32467452100); Deligiannis, Nikos (14026659500); Wilhelm, Roman (58808757700); Drapp, Bernd (6506851299)</t>
  </si>
  <si>
    <t>32467452100; 14026659500; 58808757700; 6506851299</t>
  </si>
  <si>
    <t>Few-Shot Classification with Meta-Learning for Urban Infrastructure Monitoring Using Distributed Acoustic Sensing</t>
  </si>
  <si>
    <t>10.3390/s24010049</t>
  </si>
  <si>
    <t>https://www.scopus.com/pages/publications/85182099166?origin=resultslist</t>
  </si>
  <si>
    <t>2-s2.0-85182099166</t>
  </si>
  <si>
    <t>Hu D.; Tian B.; Li H.; Fan C.; Liu T.; He T.; Liu Y.; Yan Z.; Sun Q.</t>
  </si>
  <si>
    <t>Hu, DIe (56673361200); Tian, Bin (57348322000); Li, Hao (57051847900); Fan, Cunzheng (57204841441); Liu, Tao (57218174123); He, Tao (57202089029); Liu, Yijie (57208675991); Yan, Zhijun (55851683400); Sun, Qizhen (8881874100)</t>
  </si>
  <si>
    <t>56673361200; 57348322000; 57051847900; 57204841441; 57218174123; 57202089029; 57208675991; 55851683400; 8881874100</t>
  </si>
  <si>
    <t>Intelligent Structure Monitoring for Tunnel Steel Loop Based on Distributed Acoustic Sensing</t>
  </si>
  <si>
    <t>2021 Conference on Lasers and Electro-Optics, CLEO 2021 - Proceedings</t>
  </si>
  <si>
    <t>https://www.scopus.com/pages/publications/85120468479?origin=resultslist</t>
  </si>
  <si>
    <t>2-s2.0-85120468479</t>
  </si>
  <si>
    <t>Altabey W.A.; Wu Z.; Noori M.; Fathnejat H.</t>
  </si>
  <si>
    <t>Altabey, Wael A. (57193852307); Wu, Zhishen (14632619300); Noori, Mohammad (7003390252); Fathnejat, Hamed (57191975686)</t>
  </si>
  <si>
    <t>57193852307; 14632619300; 7003390252; 57191975686</t>
  </si>
  <si>
    <t>Structural Health Monitoring of Composite Pipelines Utilizing Fiber Optic Sensors and an AI-Based Algorithm—A Comprehensive Numerical Study</t>
  </si>
  <si>
    <t>10.3390/s23083887</t>
  </si>
  <si>
    <t>https://www.scopus.com/pages/publications/85153771347?origin=resultslist</t>
  </si>
  <si>
    <t>2-s2.0-85153771347</t>
  </si>
  <si>
    <t>Meneghini F.; Poletto F.; Bellezza C.; Farina B.; Draganov D.; Van Otten G.; Stork A.L.; Böhm G.; Schleifer A.; Janssen M.; Travan A.; Zgauc F.; Durucan S.</t>
  </si>
  <si>
    <t>Meneghini, Fabio (24169182500); Poletto, Flavio (55880858200); Bellezza, Cinzia (6508245930); Farina, Biancamaria (23099760000); Draganov, Deyan (6603662680); Van Otten, Gijs (57983838200); Stork, Anna L. (14049069300); Böhm, Gualtiero (7101976806); Schleifer, Andrea (16837035900); Janssen, Martijn (57203090009); Travan, Andrea (26431655000); Zgauc, Franco (55040000800); Durucan, Sevket (6602844649)</t>
  </si>
  <si>
    <t>24169182500; 55880858200; 6508245930; 23099760000; 6603662680; 57983838200; 14049069300; 7101976806; 16837035900; 57203090009; 26431655000; 55040000800; 6602844649</t>
  </si>
  <si>
    <t>Feasibility Study and Results from a Baseline Multi-Tool Active Seismic Acquisition for CO2 Monitoring at the Hellisheiði Geothermal Field</t>
  </si>
  <si>
    <t>10.3390/su16177640</t>
  </si>
  <si>
    <t>https://www.scopus.com/pages/publications/85204127372?origin=resultslist</t>
  </si>
  <si>
    <t>2-s2.0-85204127372</t>
  </si>
  <si>
    <t>Bublin M.</t>
  </si>
  <si>
    <t>Bublin, Mugdim (57219588402)</t>
  </si>
  <si>
    <t>Event detection for distributed acoustic sensing: Combining knowledge-based, classical machine learning, and deep learning approaches</t>
  </si>
  <si>
    <t>10.3390/s21227527</t>
  </si>
  <si>
    <t>https://www.scopus.com/pages/publications/85118875106?origin=resultslist</t>
  </si>
  <si>
    <t>2-s2.0-85118875106</t>
  </si>
  <si>
    <t>Wang B.; Mao Y.; Ashry I.; Al-Fehaid Y.; Al-Shawaf A.; Ng T.K.; Yu C.; Ooi B.S.</t>
  </si>
  <si>
    <t>Wang, Biwei (57201121466); Mao, Yuan (57209928957); Ashry, Islam (57192974979); Al-Fehaid, Yousef (57215036057); Al-Shawaf, Abdulmoneim (57223002181); Ng, Tien Khee (7402229824); Yu, Changyuan (57190397484); Ooi, Boon S. (7202267249)</t>
  </si>
  <si>
    <t>57201121466; 57209928957; 57192974979; 57215036057; 57223002181; 7402229824; 57190397484; 7202267249</t>
  </si>
  <si>
    <t>Towards detecting red palm weevil using machine learning and fiber optic distributed acoustic sensing</t>
  </si>
  <si>
    <t>10.3390/s21051592</t>
  </si>
  <si>
    <t>https://www.scopus.com/pages/publications/85101309175?origin=resultslist</t>
  </si>
  <si>
    <t>2-s2.0-85101309175</t>
  </si>
  <si>
    <t>Gosmin J.P.; Vico R.; Sanchez G.G.P.; Penchel R.A.; Aldaya I.; De Abreu L.I.</t>
  </si>
  <si>
    <t>Gosmin, Joao Pedro (60102650500); Vico, Raphael (60224245900); Sanchez, Grethell Georgina Perez (60224090600); Penchel, Rafael Abrantes (41762360900); Aldaya, Ivan (35762732900); De Abreu, Leandra I. (59536883100)</t>
  </si>
  <si>
    <t>60102650500; 60224245900; 60224090600; 41762360900; 35762732900; 59536883100</t>
  </si>
  <si>
    <t>Anomaly Detection in Fiber-Based Distributed Acoustic Sensing Systems Employing Autoencoders</t>
  </si>
  <si>
    <t>2025 SBFoton International Optics and Photonics Conference, SBFoton IOPC 2025</t>
  </si>
  <si>
    <t>10.1109/SBFotonIOPC66433.2025.11218611</t>
  </si>
  <si>
    <t>https://www.scopus.com/pages/publications/105023831658?origin=resultslist</t>
  </si>
  <si>
    <t>2-s2.0-105023831658</t>
  </si>
  <si>
    <t>Sasi D.; Kanakambaran S.; Joseph T.</t>
  </si>
  <si>
    <t>Sasi, Deepika (57221223887); Kanakambaran, Srijith (57194797941); Joseph, Thomas (59260810500)</t>
  </si>
  <si>
    <t>57221223887; 57194797941; 59260810500</t>
  </si>
  <si>
    <t>Performance Comparison of Machine Learning Models for Multi-Event Classification of Vibrational Patterns in Distributed Acoustic Sensing System</t>
  </si>
  <si>
    <t>2024 International Conference on Signal Processing, Computation, Electronics, Power and Telecommunication, IConSCEPT 2024 - Proceedings</t>
  </si>
  <si>
    <t>10.1109/IConSCEPT61884.2024.10627811</t>
  </si>
  <si>
    <t>https://www.scopus.com/pages/publications/85203524817?origin=resultslist</t>
  </si>
  <si>
    <t>2-s2.0-85203524817</t>
  </si>
  <si>
    <t>Khacef Y.; Van Den Ende M.; Ferrari A.; Richard C.; Sladen A.</t>
  </si>
  <si>
    <t>Khacef, Yacine (58144333300); Van Den Ende, Martijn (57193273788); Ferrari, André (56284113400); Richard, Cédric (7202302253); Sladen, Anthony (16445289700)</t>
  </si>
  <si>
    <t>58144333300; 57193273788; 56284113400; 7202302253; 16445289700</t>
  </si>
  <si>
    <t>Self-Supervised Velocity Field Learning for High-Resolution Traffic Monitoring with Distributed Acoustic Sensing</t>
  </si>
  <si>
    <t>Conference Record - Asilomar Conference on Signals, Systems and Computers</t>
  </si>
  <si>
    <t>2022-October</t>
  </si>
  <si>
    <t>10.1109/IEEECONF56349.2022.10051959</t>
  </si>
  <si>
    <t>https://www.scopus.com/pages/publications/85150169868?origin=resultslist</t>
  </si>
  <si>
    <t>All Open Access; Green Open Access</t>
  </si>
  <si>
    <t>2-s2.0-85150169868</t>
  </si>
  <si>
    <t>Wang S.; Liu F.; Liu B.</t>
  </si>
  <si>
    <t>Wang, Shulun (57220959304); Liu, Feng (57195394660); Liu, Bin (58736533000)</t>
  </si>
  <si>
    <t>57220959304; 57195394660; 58736533000</t>
  </si>
  <si>
    <t>Semi-Supervised Deep Learning in High-Speed Railway Track Detection Based on Distributed Fiber Acoustic Sensing</t>
  </si>
  <si>
    <t>10.3390/s22020413</t>
  </si>
  <si>
    <t>https://www.scopus.com/pages/publications/85123511373?origin=resultslist</t>
  </si>
  <si>
    <t>2-s2.0-85123511373</t>
  </si>
  <si>
    <t>Faghir Hagh S.; Bourdeau J.; Sober J.; Chertok R.; Jepsen C.; Amngostar P.; Levine L.; Forey C.; Xia T.; Skalka C.</t>
  </si>
  <si>
    <t>Faghir Hagh, Soheyl (60237190300); Bourdeau, Jordan (60116405200); Sober, Julia (60116192500); Chertok, Rachael (57202789625); Jepsen, Christopher (59561087900); Amngostar, Parmida (58928628600); Levine, Lucas (60115985800); Forey, Casey (60116089100); Xia, Tian (59971830400); Skalka, Christian (9271424900)</t>
  </si>
  <si>
    <t>60237190300; 60116405200; 60116192500; 57202789625; 59561087900; 58928628600; 60115985800; 60116089100; 59971830400; 9271424900</t>
  </si>
  <si>
    <t>Embedded IoT System for Acoustic Precipitation Phase Partitioning via Edge ML and MFCCs</t>
  </si>
  <si>
    <t>IEEE Internet of Things Journal</t>
  </si>
  <si>
    <t>10.1109/JIOT.2025.3613138</t>
  </si>
  <si>
    <t>https://www.scopus.com/pages/publications/105017166568?origin=resultslist</t>
  </si>
  <si>
    <t>2-s2.0-105017166568</t>
  </si>
  <si>
    <t>Zhao Y.</t>
  </si>
  <si>
    <t>Zhao, Ying (56110428300)</t>
  </si>
  <si>
    <t>Knowledge Graphs (KG) Assisted Variational Autoencoder (VAE) for Large-Scale Anomaly and Event Detection</t>
  </si>
  <si>
    <t xml:space="preserve">Lecture Notes in Computer Science (including subseries Lecture Notes in Artificial Intelligence and Lecture Notes in Bioinformatics) </t>
  </si>
  <si>
    <t>15214 LNCS</t>
  </si>
  <si>
    <t>10.1007/978-3-031-78554-2_13</t>
  </si>
  <si>
    <t>https://www.scopus.com/pages/publications/85218457498?origin=resultslist</t>
  </si>
  <si>
    <t>2-s2.0-85218457498</t>
  </si>
  <si>
    <t>Bellezza C.; Meneghini F.; Travan A.; Deponte M.; Baradello L.; Schleifer A.</t>
  </si>
  <si>
    <t>Bellezza, Cinzia (6508245930); Meneghini, Fabio (24169182500); Travan, Andrea (26431655000); Deponte, Michele (36342367800); Baradello, Luca (6507111543); Schleifer, Andrea (16837035900)</t>
  </si>
  <si>
    <t>6508245930; 24169182500; 26431655000; 36342367800; 6507111543; 16837035900</t>
  </si>
  <si>
    <t>Marine Fiber-Optic Distributed Acoustic Sensing (DAS) for Monitoring Natural CO2 Emissions: A Case Study from Panarea (Aeolian Islands, Italy)</t>
  </si>
  <si>
    <t>10.3390/app16062863</t>
  </si>
  <si>
    <t>https://www.scopus.com/pages/publications/105034084877?origin=resultslist</t>
  </si>
  <si>
    <t>2-s2.0-105034084877</t>
  </si>
  <si>
    <t>Shahabudin M.S.B.; Krishnan N.F.B.M.; Mausor F.H.B.</t>
  </si>
  <si>
    <t>Shahabudin, Mohd Safuwan Bin (59256483400); Krishnan, Nor Farisha Binti Muhamad (59513029100); Mausor, Farahida Hanim Binti (57217991483)</t>
  </si>
  <si>
    <t>59256483400; 59513029100; 57217991483</t>
  </si>
  <si>
    <t>Spiking Neural Network for Microseismic Events Detection Using Distributed Acoustic Sensing Data</t>
  </si>
  <si>
    <t>Lecture Notes in Networks and Systems</t>
  </si>
  <si>
    <t>1078 LNNS</t>
  </si>
  <si>
    <t>10.1007/978-3-031-66965-1_31</t>
  </si>
  <si>
    <t>https://www.scopus.com/pages/publications/85200999760?origin=resultslist</t>
  </si>
  <si>
    <t>2-s2.0-85200999760</t>
  </si>
  <si>
    <t>Lu Y.; Tian Y.; Han S.; Cosatto E.; Ozharar S.; Ding Y.</t>
  </si>
  <si>
    <t>Lu, You (59111667700); Tian, Yue (55193248100); Han, Shaobo (57226591830); Cosatto, Eric (6602797766); Ozharar, Sarper (9239587900); Ding, Yangmin (57222043273)</t>
  </si>
  <si>
    <t>59111667700; 55193248100; 57226591830; 6602797766; 9239587900; 57222043273</t>
  </si>
  <si>
    <t>Automatic fine-grained localization of utility pole landmarks on distributed acoustic sensing traces based on bilinear resnets</t>
  </si>
  <si>
    <t>ICASSP, IEEE International Conference on Acoustics, Speech and Signal Processing - Proceedings</t>
  </si>
  <si>
    <t>2021-June</t>
  </si>
  <si>
    <t>10.1109/ICASSP39728.2021.9415049</t>
  </si>
  <si>
    <t>https://www.scopus.com/pages/publications/85115165729?origin=resultslist</t>
  </si>
  <si>
    <t>2-s2.0-85115165729</t>
  </si>
  <si>
    <t>Ashry I.; Mao Y.; Wang B.; Sait M.; Guo Y.; Al-Shawaf A.; Ng T.K.; Ooi B.S.</t>
  </si>
  <si>
    <t>Ashry, Islam (57192974979); Mao, Yuan (57209928957); Wang, Biwei (57201121466); Sait, Mohammed (57208187051); Guo, Yujian (57192008838); Al-Shawaf, Abdulmoneim (57223002181); Ng, Tien Khee (7402229824); Ooi, Boon S. (7202267249)</t>
  </si>
  <si>
    <t>57192974979; 57209928957; 57201121466; 57208187051; 57192008838; 57223002181; 7402229824; 7202267249</t>
  </si>
  <si>
    <t>CNN-based detection of red palm weevil using optical-fiber-distributed acoustic sensing</t>
  </si>
  <si>
    <t>120080U</t>
  </si>
  <si>
    <t>10.1117/12.2609308</t>
  </si>
  <si>
    <t>https://www.scopus.com/pages/publications/85131217399?origin=resultslist</t>
  </si>
  <si>
    <t>2-s2.0-85131217399</t>
  </si>
  <si>
    <t>Ruichang N.; Yutong S.; Song W.</t>
  </si>
  <si>
    <t>Ruichang, Nie (59936148900); Yutong, Sun (57189062887); Song, Wang (59936551100)</t>
  </si>
  <si>
    <t>59936148900; 57189062887; 59936551100</t>
  </si>
  <si>
    <t>Research on underground pipeline illegal intrusion monitoring based on distributed optical fiber sensing technology</t>
  </si>
  <si>
    <t>134460C</t>
  </si>
  <si>
    <t>10.1117/12.3058711</t>
  </si>
  <si>
    <t>https://www.scopus.com/pages/publications/105007611149?origin=resultslist</t>
  </si>
  <si>
    <t>2-s2.0-105007611149</t>
  </si>
  <si>
    <t>Kang C.H.; Ashry I.; Marin J.M.; Ariff T.; Rjeb A.; Gunawan W.H.; Ng T.K.; Ooi B.S.</t>
  </si>
  <si>
    <t>Kang, Chun Hong (56149448300); Ashry, Islam (57192974979); Marin, Juan M. (58018242700); Ariff, Talha (59345817000); Rjeb, Alaaeddine (57211483550); Gunawan, Wahyu Hendra (57867186900); Ng, Tien Khee (7402229824); Ooi, Boon S. (7202267249)</t>
  </si>
  <si>
    <t>56149448300; 57192974979; 58018242700; 59345817000; 57211483550; 57867186900; 7402229824; 7202267249</t>
  </si>
  <si>
    <t>On the Large-Scale Field Experiment of Machine Learning-Aided Fiber-Optic Distributed Acoustic Sensing for Early Detection of Red Palm Weevils</t>
  </si>
  <si>
    <t>CLEO: Science and Innovations, CLEO: S and I 2024 in Proceedings CLEO 2024, Part of Conference on Lasers and Electro-Optics</t>
  </si>
  <si>
    <t>https://www.scopus.com/pages/publications/85205105753?origin=resultslist</t>
  </si>
  <si>
    <t>2-s2.0-85205105753</t>
  </si>
  <si>
    <t>Robles-Urquijo I.; Benavente J.; Blanco García J.; Diego Gonzalez P.; Loayssa A.; Sagues M.; Rodriguez-Cobo L.; Cobo A.</t>
  </si>
  <si>
    <t>Robles-Urquijo, Ignacio (57194191519); Benavente, Juan (56494508300); Blanco García, Javier (57241146900); Diego Gonzalez, Pelayo (59893187400); Loayssa, Alayn (55968633000); Sagues, Mikel (23393987800); Rodriguez-Cobo, Luis (36550668700); Cobo, Adolfo (35597580600)</t>
  </si>
  <si>
    <t>57194191519; 56494508300; 57241146900; 59893187400; 55968633000; 23393987800; 36550668700; 35597580600</t>
  </si>
  <si>
    <t>Method to Use Transport Microsimulation Models to Create Synthetic Distributed Acoustic Sensing Datasets</t>
  </si>
  <si>
    <t>10.3390/app15095203</t>
  </si>
  <si>
    <t>https://www.scopus.com/pages/publications/105004892732?origin=resultslist</t>
  </si>
  <si>
    <t>2-s2.0-105004892732</t>
  </si>
  <si>
    <t>Brusamarello B.; Dreyer U.J.; Brunetto G.A.; Pedrozo Melegari L.F.; Martelli C.; Cardozo da Silva J.C.</t>
  </si>
  <si>
    <t>Brusamarello, Beatriz (57423729800); Dreyer, Uilian José (55858690500); Brunetto, Gilson Antonio (58869346300); Pedrozo Melegari, Luis Fernando (59326880200); Martelli, Cicero (9740786100); Cardozo da Silva, Jean Carlos (58574876300)</t>
  </si>
  <si>
    <t>57423729800; 55858690500; 58869346300; 59326880200; 9740786100; 58574876300</t>
  </si>
  <si>
    <t>Multilayer Structure Damage Detection Using Optical Fiber Acoustic Sensing and Machine Learning</t>
  </si>
  <si>
    <t>10.3390/s24175777</t>
  </si>
  <si>
    <t>https://www.scopus.com/pages/publications/85203879446?origin=resultslist</t>
  </si>
  <si>
    <t>2-s2.0-85203879446</t>
  </si>
  <si>
    <t>2025 IEEE Symposium on Computational Intelligence in Image, Signal Processing and Synthetic Media Companion, CISM Companion 2025</t>
  </si>
  <si>
    <t>https://www.scopus.com/pages/publications/105012034892?origin=resultslist</t>
  </si>
  <si>
    <t>Conference review</t>
  </si>
  <si>
    <t>2-s2.0-105012034892</t>
  </si>
  <si>
    <t>Tian R.; Hong R.; Wang F.</t>
  </si>
  <si>
    <t>Tian, Ruifeng (58310499400); Hong, Rui (57222298047); Wang, Feng (56456891100)</t>
  </si>
  <si>
    <t>58310499400; 57222298047; 56456891100</t>
  </si>
  <si>
    <t>Vibration recognition of UWFBG-array-DAS based on Bayesian optimization random forest</t>
  </si>
  <si>
    <t>135420U</t>
  </si>
  <si>
    <t>10.1117/12.3055453</t>
  </si>
  <si>
    <t>https://www.scopus.com/pages/publications/105000128951?origin=resultslist</t>
  </si>
  <si>
    <t>2-s2.0-105000128951</t>
  </si>
  <si>
    <t>Zhang P.; Venketeswaran A.; Bukka S.R.; Sarcinelli E.; Lalam N.; Wright R.F.; Ohodnicki P.R.</t>
  </si>
  <si>
    <t>Zhang, Pengdi (57832120400); Venketeswaran, Abhishek (56002552100); Bukka, Sandeep R. (57213598812); Sarcinelli, Enrico (58452988000); Lalam, Nageswara (57188864703); Wright, Ruishu F. (57203424912); Ohodnicki, Paul R. (6508263970)</t>
  </si>
  <si>
    <t>57832120400; 56002552100; 57213598812; 58452988000; 57188864703; 57203424912; 6508263970</t>
  </si>
  <si>
    <t>Machine learning data analytics based on distributed fiber sensors for pipeline feature detection</t>
  </si>
  <si>
    <t>125320C</t>
  </si>
  <si>
    <t>10.1117/12.2663225</t>
  </si>
  <si>
    <t>https://www.scopus.com/pages/publications/85170645640?origin=resultslist</t>
  </si>
  <si>
    <t>2-s2.0-85170645640</t>
  </si>
  <si>
    <t>Arief H.A.; Thomas P.J.; Constable K.; Katsaggelos A.K.</t>
  </si>
  <si>
    <t>Arief, Hasan Asy’ari (57195135675); Thomas, Peter James (55900962700); Constable, Kevin (36714888100); Katsaggelos, Aggelos K. (7102711302)</t>
  </si>
  <si>
    <t>57195135675; 55900962700; 36714888100; 7102711302</t>
  </si>
  <si>
    <t>Towards Building a Distributed Virtual Flow Meter via Compressed Continual Learning</t>
  </si>
  <si>
    <t>10.3390/s22249878</t>
  </si>
  <si>
    <t>https://www.scopus.com/pages/publications/85144579733?origin=resultslist</t>
  </si>
  <si>
    <t>2-s2.0-85144579733</t>
  </si>
  <si>
    <t>Han C.; Wang S.; Madan A.; Zhao C.; Mohanty L.; Fu Y.; Shen W.; Liang R.; Huang E.S.; Zheng T.; Ong P.K.; Zhang A.; Woon K.J.; Wong K.X.; Yang Y.</t>
  </si>
  <si>
    <t>Han, Chengjia (57203867067); Wang, Shun (56001609300); Madan, Aayush (57201289881); Zhao, Chaoyang (57219288547); Mohanty, Lipi (56002822100); Fu, Yuguang (57191156904); Shen, Wei (57213164375); Liang, Ruihua (57210557443); Huang, Ean Seong (55377902200); Zheng, Tony (59147285400); Ong, Phui Kai (55437132300); Zhang, Alvin (59146650100); Woon, Khai Jhin (59146972700); Wong, Kai Xin (59147285500); Yang, Yaowen (35304319600)</t>
  </si>
  <si>
    <t>57203867067; 56001609300; 57201289881; 57219288547; 56002822100; 57191156904; 57213164375; 57210557443; 55377902200; 59147285400; 55437132300; 59146650100; 59146972700; 59147285500; 35304319600</t>
  </si>
  <si>
    <t>Intelligent detection of loose fasteners in railway tracks using distributed acoustic sensing and machine learning</t>
  </si>
  <si>
    <t>Engineering Applications of Artificial Intelligence</t>
  </si>
  <si>
    <t>10.1016/j.engappai.2024.108684</t>
  </si>
  <si>
    <t>https://www.scopus.com/pages/publications/85194384794?origin=resultslist</t>
  </si>
  <si>
    <t>2-s2.0-85194384794</t>
  </si>
  <si>
    <t>Liang R.; Cui Y.; Tang Y.; Liu F.</t>
  </si>
  <si>
    <t>Liang, Rongyu (57196041332); Cui, Yuli (57984430000); Tang, Yuanying (59546504400); Liu, Feng (57195394660)</t>
  </si>
  <si>
    <t>57196041332; 57984430000; 59546504400; 57195394660</t>
  </si>
  <si>
    <t>A Method for Train Tracking Based on Distributed Acoustic Sensing</t>
  </si>
  <si>
    <t>Frontiers in Artificial Intelligence and Applications</t>
  </si>
  <si>
    <t>10.3233/FAIA241384</t>
  </si>
  <si>
    <t>https://www.scopus.com/pages/publications/85217176819?origin=resultslist</t>
  </si>
  <si>
    <t>All Open Access; Hybrid Gold Open Access</t>
  </si>
  <si>
    <t>2-s2.0-85217176819</t>
  </si>
  <si>
    <t>14th EAI International Conference on Wireless and Satellite Systems, WiSATS 2024</t>
  </si>
  <si>
    <t>Lecture Notes of the Institute for Computer Sciences, Social-Informatics and Telecommunications Engineering, LNICST</t>
  </si>
  <si>
    <t>606 LNICST</t>
  </si>
  <si>
    <t>https://www.scopus.com/pages/publications/105002130148?origin=resultslist</t>
  </si>
  <si>
    <t>2-s2.0-105002130148</t>
  </si>
  <si>
    <t>Shashkin P.; Gurevich B.; Yavuz S.; Glubokovskikh S.; Pevzner R.</t>
  </si>
  <si>
    <t>Shashkin, Pavel (57235410200); Gurevich, Boris (7005814965); Yavuz, Sinem (56112413700); Glubokovskikh, Stanislav (56046204000); Pevzner, Roman (23995591000)</t>
  </si>
  <si>
    <t>57235410200; 7005814965; 56112413700; 56046204000; 23995591000</t>
  </si>
  <si>
    <t>Monitoring Injected CO2 Using Earthquake Waves Measured by Downhole Fibre-Optic Sensors: CO2CRC Otway Stage 3 Case Study</t>
  </si>
  <si>
    <t>10.3390/s22207863</t>
  </si>
  <si>
    <t>https://www.scopus.com/pages/publications/85140862900?origin=resultslist</t>
  </si>
  <si>
    <t>2-s2.0-85140862900</t>
  </si>
  <si>
    <t>Ould-Elhassen Aoueileyine M.; Bennouri H.; Berqia A.; Lind P.G.; Haugerud H.; Krejcar O.; Bouallegue R.; Yazidi A.</t>
  </si>
  <si>
    <t>Ould-Elhassen Aoueileyine, Mohamed (57615334300); Bennouri, Hajar (57203898912); Berqia, Amine (6505940654); Lind, Pedro G. (7102202969); Haugerud, Hårek (6602397426); Krejcar, Ondrej (14719632500); Bouallegue, Ridha (16548896600); Yazidi, Anis (36623068400)</t>
  </si>
  <si>
    <t>57615334300; 57203898912; 6505940654; 7102202969; 6602397426; 14719632500; 16548896600; 36623068400</t>
  </si>
  <si>
    <t>Quality of Monitoring Optimization in Underwater Sensor Networks through a Multiagent Diversity-Based Gradient Approach</t>
  </si>
  <si>
    <t>10.3390/s23083877</t>
  </si>
  <si>
    <t>https://www.scopus.com/pages/publications/85153764637?origin=resultslist</t>
  </si>
  <si>
    <t>2-s2.0-85153764637</t>
  </si>
  <si>
    <t>Bin Shahabudin M.S.; Jaafar J.; Bencheva N.; Paputungan I.V.; Farisha Binti Muhamad Krishnan N.</t>
  </si>
  <si>
    <t>Bin Shahabudin, Mohd Safuwan (59535935800); Jaafar, Jafreezal (16642666200); Bencheva, Nina (35241784700); Paputungan, Irving Vitra (24734216700); Farisha Binti Muhamad Krishnan, Nor (59536977700)</t>
  </si>
  <si>
    <t>59535935800; 16642666200; 35241784700; 24734216700; 59536977700</t>
  </si>
  <si>
    <t>Graph Neural Networks for Microseismic Event Detection: Focusing on Distributed Acoustic Sensing Data</t>
  </si>
  <si>
    <t>CIEES 2024 - IEEE International Conference on Communications, Information, Electronic and Energy Systems</t>
  </si>
  <si>
    <t>10.1109/CIEES62939.2024.10811318</t>
  </si>
  <si>
    <t>https://www.scopus.com/pages/publications/85216531672?origin=resultslist</t>
  </si>
  <si>
    <t>2-s2.0-85216531672</t>
  </si>
  <si>
    <t>Steffensen T.L.; Bartnes B.; Fuglstad M.L.; Auflem M.; Steinert M.</t>
  </si>
  <si>
    <t>Steffensen, Torjus L. (57208757315); Bartnes, Barge (58689720600); Fuglstad, Maja L. (58688627400); Auflem, Marius (57212471788); Steinert, Martin (22981860900)</t>
  </si>
  <si>
    <t>57208757315; 58689720600; 58688627400; 57212471788; 22981860900</t>
  </si>
  <si>
    <t>Playing the pipes: acoustic sensing and machine learning for performance feedback during endotracheal intubation simulation</t>
  </si>
  <si>
    <t>Frontiers in Robotics and AI</t>
  </si>
  <si>
    <t>10.3389/frobt.2023.1218174</t>
  </si>
  <si>
    <t>https://www.scopus.com/pages/publications/85176294776?origin=resultslist</t>
  </si>
  <si>
    <t>2-s2.0-85176294776</t>
  </si>
  <si>
    <t>Wu Y.; Zhao C.; Jiang J.; Zhao Y.; Wang J.; Wu H.</t>
  </si>
  <si>
    <t>Wu, Yongxin (59162753800); Zhao, Chang (59936492400); Jiang, Jiansheng (59935830800); Zhao, YuJie (59935964800); Wang, Jinglun (58464297500); Wu, Huijuan (55703709600)</t>
  </si>
  <si>
    <t>59162753800; 59936492400; 59935830800; 59935964800; 58464297500; 55703709600</t>
  </si>
  <si>
    <t>Few-sample learning for fiber-optic Distributed Acoustic Sensors (DAS) in cross scenes</t>
  </si>
  <si>
    <t>134460V</t>
  </si>
  <si>
    <t>10.1117/12.3059262</t>
  </si>
  <si>
    <t>https://www.scopus.com/pages/publications/105007640422?origin=resultslist</t>
  </si>
  <si>
    <t>2-s2.0-105007640422</t>
  </si>
  <si>
    <t>605 LNICST</t>
  </si>
  <si>
    <t>https://www.scopus.com/pages/publications/105002036262?origin=resultslist</t>
  </si>
  <si>
    <t>2-s2.0-105002036262</t>
  </si>
  <si>
    <t>Flak P.; Czyba R.</t>
  </si>
  <si>
    <t>Flak, Przemyslaw (56195867200); Czyba, Roman (6508076045)</t>
  </si>
  <si>
    <t>56195867200; 6508076045</t>
  </si>
  <si>
    <t>RF Drone Detection System Based on a Distributed Sensor Grid With Remote Hardware-Accelerated Signal Processing</t>
  </si>
  <si>
    <t>IEEE Access</t>
  </si>
  <si>
    <t>10.1109/ACCESS.2023.3340133</t>
  </si>
  <si>
    <t>https://www.scopus.com/pages/publications/85179781001?origin=resultslist</t>
  </si>
  <si>
    <t>2-s2.0-85179781001</t>
  </si>
  <si>
    <t>Derawi M.; Alvarez Cid M.X.; Alaya Cheikh F.; Gupta N.; Gupta N.</t>
  </si>
  <si>
    <t>Derawi, Mohammad (35408917600); Alvarez Cid, Marcos Xose (57170766100); Alaya Cheikh, Faouzi (60227216700); Gupta, Neha (58280816600); Gupta, Nishu (55441680400)</t>
  </si>
  <si>
    <t>35408917600; 57170766100; 60227216700; 58280816600; 55441680400</t>
  </si>
  <si>
    <t>IoT and Data-Driven Acoustic Leak Detection Using Microcontroller and Fast Fourier Transform</t>
  </si>
  <si>
    <t>International System on Chip Conference</t>
  </si>
  <si>
    <t>10.1109/SOCC66126.2025.11235384</t>
  </si>
  <si>
    <t>https://www.scopus.com/pages/publications/105029538501?origin=resultslist</t>
  </si>
  <si>
    <t>2-s2.0-105029538501</t>
  </si>
  <si>
    <t>Giraldo-Soto C.; Azkorra-Larrinaga Z.; Uriarte A.; Romero-Antón N.; Odriozola-Maritorena M.</t>
  </si>
  <si>
    <t>Giraldo-Soto, Catalina (57203135039); Azkorra-Larrinaga, Zaloa (57215575444); Uriarte, Amaia (56417499700); Romero-Antón, Naiara (57200530853); Odriozola-Maritorena, Moisés (56593211900)</t>
  </si>
  <si>
    <t>57203135039; 57215575444; 56417499700; 57200530853; 56593211900</t>
  </si>
  <si>
    <t>Operational Performance of an MVHR System in a Retrofitted Heritage Dwelling: Indoor Air Quality, Efficiency and Duct Constraints</t>
  </si>
  <si>
    <t>10.3390/su17188493</t>
  </si>
  <si>
    <t>https://www.scopus.com/pages/publications/105017134173?origin=resultslist</t>
  </si>
  <si>
    <t>2-s2.0-105017134173</t>
  </si>
  <si>
    <t>Liu L.; Tong X.</t>
  </si>
  <si>
    <t>Liu, Liwei (59001446100); Tong, Xinglin (13609729100)</t>
  </si>
  <si>
    <t>59001446100; 13609729100</t>
  </si>
  <si>
    <t>Corrosion detection in petrochemical pipelines using distributed acoustic sensing and unsupervised signal analysis</t>
  </si>
  <si>
    <t>137330X</t>
  </si>
  <si>
    <t>10.1117/12.3076295</t>
  </si>
  <si>
    <t>https://www.scopus.com/pages/publications/105014909475?origin=resultslist</t>
  </si>
  <si>
    <t>2-s2.0-105014909475</t>
  </si>
  <si>
    <t>Al-Hemyari E.; Collet O.; Tertyshnikov K.; Pevzner R.</t>
  </si>
  <si>
    <t>Al-Hemyari, Emad (57194188315); Collet, Olivia (55923192000); Tertyshnikov, Konstantin (56122695800); Pevzner, Roman (23995591000)</t>
  </si>
  <si>
    <t>57194188315; 55923192000; 56122695800; 23995591000</t>
  </si>
  <si>
    <t>Supervised Deep Learning for Detecting and Locating Passive Seismic Events Recorded with DAS: A Case Study</t>
  </si>
  <si>
    <t>10.3390/s24216978</t>
  </si>
  <si>
    <t>https://www.scopus.com/pages/publications/85208597852?origin=resultslist</t>
  </si>
  <si>
    <t>2-s2.0-85208597852</t>
  </si>
  <si>
    <t>2024 Conference on Lasers and Electro-Optics, CLEO 2024</t>
  </si>
  <si>
    <t>10.1364/cleo_si.2024.sf3a.5</t>
  </si>
  <si>
    <t>https://www.scopus.com/pages/publications/85215220705?origin=resultslist</t>
  </si>
  <si>
    <t>2-s2.0-85215220705</t>
  </si>
  <si>
    <t>Dharshana Shahini R.; Karthiga B.; Priyadharshini R.; Kanakambaran S.</t>
  </si>
  <si>
    <t>Dharshana Shahini, R. (57216494282); Karthiga, B. (58926807800); Priyadharshini, R. (57766855100); Kanakambaran, Srijith (57194797941)</t>
  </si>
  <si>
    <t>57216494282; 58926807800; 57766855100; 57194797941</t>
  </si>
  <si>
    <t>A Comparative Study of Machine Learning Techniques for Seismic Activity Monitoring using Fiber Optic Distributed Acoustic Sensors</t>
  </si>
  <si>
    <t>2024 IEEE International Conference on Interdisciplinary Approaches in Technology and Management for Social Innovation, IATMSI 2024</t>
  </si>
  <si>
    <t>10.1109/IATMSI60426.2024.10502707</t>
  </si>
  <si>
    <t>https://www.scopus.com/pages/publications/85192266326?origin=resultslist</t>
  </si>
  <si>
    <t>2-s2.0-85192266326</t>
  </si>
  <si>
    <t>Chien C.-C.; Jenkins W.F., II; Gerstoft P.; Zumberge M.; Mellors R.</t>
  </si>
  <si>
    <t>Chien, Chih-Chieh (58043575200); Jenkins, William F. (57272836000); Gerstoft, Peter (7003479114); Zumberge, Mark (6701650582); Mellors, Robert (57203254568)</t>
  </si>
  <si>
    <t>58043575200; 57272836000; 7003479114; 6701650582; 57203254568</t>
  </si>
  <si>
    <t>Automatic classification with an autoencoder of seismic signals on a distributed acoustic sensing cable</t>
  </si>
  <si>
    <t>Computers and Geotechnics</t>
  </si>
  <si>
    <t>10.1016/j.compgeo.2022.105223</t>
  </si>
  <si>
    <t>https://www.scopus.com/pages/publications/85145650071?origin=resultslist</t>
  </si>
  <si>
    <t>2-s2.0-85145650071</t>
  </si>
  <si>
    <t>Wu C.-S.; Fratta D.; Hampton J.C.</t>
  </si>
  <si>
    <t>Wu, Chao-Sheng (60076759100); Fratta, Dante (14059781500); Hampton, Jesse C. (55577166600)</t>
  </si>
  <si>
    <t>60076759100; 14059781500; 55577166600</t>
  </si>
  <si>
    <t>Transfer Learning using DAS for Blasting Event Identification</t>
  </si>
  <si>
    <t>10.1117/12.3051072</t>
  </si>
  <si>
    <t>https://www.scopus.com/pages/publications/105014526338?origin=resultslist</t>
  </si>
  <si>
    <t>2-s2.0-105014526338</t>
  </si>
  <si>
    <t>Prakash A.; Tadepalli T.</t>
  </si>
  <si>
    <t>Prakash, Akula (59145655200); Tadepalli, Tezeswi (22986705700)</t>
  </si>
  <si>
    <t>59145655200; 22986705700</t>
  </si>
  <si>
    <t>A Review of Acoustic Signal-based Detection of Damage in Railway Tracks</t>
  </si>
  <si>
    <t>2024 IEEE Conference on Engineering Informatics, ICEI 2024</t>
  </si>
  <si>
    <t>10.1109/ICEI64305.2024.10912263</t>
  </si>
  <si>
    <t>https://www.scopus.com/pages/publications/105001497399?origin=resultslist</t>
  </si>
  <si>
    <t>2-s2.0-105001497399</t>
  </si>
  <si>
    <t>Huot F.; Clapp R.G.; Biondi B.L.</t>
  </si>
  <si>
    <t>Huot, Fantine (57201184784); Clapp, Robert G. (7006235057); Biondi, Biondo L. (7006491702)</t>
  </si>
  <si>
    <t>57201184784; 7006235057; 7006491702</t>
  </si>
  <si>
    <t>Detecting local earthquakes via fiber-optic cables in telecommunication conduits under Stanford University campus using deep learning</t>
  </si>
  <si>
    <t>Computers and Geosciences</t>
  </si>
  <si>
    <t>10.1016/j.cageo.2024.105625</t>
  </si>
  <si>
    <t>https://www.scopus.com/pages/publications/85196420344?origin=resultslist</t>
  </si>
  <si>
    <t>2-s2.0-85196420344</t>
  </si>
  <si>
    <t>Shen J.; Yao L.; Shen B.; Zeng J.</t>
  </si>
  <si>
    <t>Shen, Jiaqi (59302609300); Yao, Le (57191861919); Shen, Bingbing (57211372367); Zeng, Jiusun (16023694200)</t>
  </si>
  <si>
    <t>59302609300; 57191861919; 57211372367; 16023694200</t>
  </si>
  <si>
    <t>Abnormal Event Identification via Deep Spatio-Temporal Feature Extracting of Imbalanced Distributed Optical Fiber Vibration Signals</t>
  </si>
  <si>
    <t>Proceedings of 2024 IEEE 13th Data Driven Control and Learning Systems Conference, DDCLS 2024</t>
  </si>
  <si>
    <t>10.1109/DDCLS61622.2024.10606670</t>
  </si>
  <si>
    <t>https://www.scopus.com/pages/publications/85202445599?origin=resultslist</t>
  </si>
  <si>
    <t>2-s2.0-85202445599</t>
  </si>
  <si>
    <t>Unconventional Imaging, Sensing, and Adaptive Optics 2025</t>
  </si>
  <si>
    <t>https://www.scopus.com/pages/publications/105025369889?origin=resultslist</t>
  </si>
  <si>
    <t>2-s2.0-105025369889</t>
  </si>
  <si>
    <t>2-s2.0-85138207536</t>
  </si>
  <si>
    <t>https://www.scopus.com/pages/publications/85138207536?origin=resultslist</t>
  </si>
  <si>
    <t>10.1515/auto-2022-0013</t>
  </si>
  <si>
    <t>At-Automatisierungstechnik</t>
  </si>
  <si>
    <t>Erklärbare KI: Einführung von Vertrauen und Nachvollziehbarkeit in das KI-Engineering; [Explainable AI: introducing trust and comprehensibility to AI engineering]</t>
  </si>
  <si>
    <t>57215432741; 57893991900; 22835220700</t>
  </si>
  <si>
    <t>Burkart, Nadia (57215432741); Brajovic, Danilo (57893991900); Huber, Marco F. (22835220700)</t>
  </si>
  <si>
    <t>Burkart N.; Brajovic D.; Huber M.F.</t>
  </si>
  <si>
    <t>2-s2.0-85206495047</t>
  </si>
  <si>
    <t>https://www.scopus.com/pages/publications/85206495047?origin=resultslist</t>
  </si>
  <si>
    <t>10.3390/s24196314</t>
  </si>
  <si>
    <t>Improving Localization in Wireless Sensor Networks for the Internet of Things Using Data Replication-Based Deep Neural Networks</t>
  </si>
  <si>
    <t>58846281500; 7003384623</t>
  </si>
  <si>
    <t>Esheh, Jehan (58846281500); Affes, Sofiene (7003384623)</t>
  </si>
  <si>
    <t>Esheh J.; Affes S.</t>
  </si>
  <si>
    <t>2-s2.0-85135129047</t>
  </si>
  <si>
    <t>https://www.scopus.com/pages/publications/85135129047?origin=resultslist</t>
  </si>
  <si>
    <t>10.1109/KPEC54747.2022.9814724</t>
  </si>
  <si>
    <t>2022 IEEE Kansas Power and Energy Conference, KPEC 2022</t>
  </si>
  <si>
    <t>A Comparison of Machine Learning Methods for Frequency Nadir Estimation in Power Systems</t>
  </si>
  <si>
    <t>57224080620; 57199944589; 56399908200; 56019870900; 57215336329; 55703642600; 55512512800</t>
  </si>
  <si>
    <t>Liu, Xuebo (57224080620); Xie, Jian (57199944589); Fang, Xin (56399908200); Yuan, Haoyu (56019870900); Wang, Bin (57215336329); Wu, Hongyu (55703642600); Tan, Jin (55512512800)</t>
  </si>
  <si>
    <t>Liu X.; Xie J.; Fang X.; Yuan H.; Wang B.; Wu H.; Tan J.</t>
  </si>
  <si>
    <t>2-s2.0-85217162956</t>
  </si>
  <si>
    <t>https://www.scopus.com/pages/publications/85217162956?origin=resultslist</t>
  </si>
  <si>
    <t>10.1109/BIBE63649.2024.10820486</t>
  </si>
  <si>
    <t>2024 IEEE 24th International Conference on Bioinformatics and Bioengineering, BIBE 2024</t>
  </si>
  <si>
    <t>Das-Alz: Alzheimer's Disease Classification Using Downscaled MRI Scans and a Reinforced Convolutional Neural Network</t>
  </si>
  <si>
    <t>58955335300; 59546581600</t>
  </si>
  <si>
    <t>Babuc, Diogen (58955335300); Babuc, Gabrijel (59546581600)</t>
  </si>
  <si>
    <t>Babuc D.; Babuc G.</t>
  </si>
  <si>
    <t>2-s2.0-85217266481</t>
  </si>
  <si>
    <t>https://www.scopus.com/pages/publications/85217266481?origin=resultslist</t>
  </si>
  <si>
    <t>10.1007/s11517-025-03289-y</t>
  </si>
  <si>
    <t>Medical and Biological Engineering and Computing</t>
  </si>
  <si>
    <t>Predicting doxorubicin-induced cardiotoxicity in breast cancer: leveraging machine learning with synthetic data</t>
  </si>
  <si>
    <t>57254642200; 7003930946; 56257795500; 57225665858; 59547262200; 7003736503; 12139608400</t>
  </si>
  <si>
    <t>Araújo, Daniella Castro (57254642200); Simões, Ricardo (7003930946); Sabino, Adriano de Paula (56257795500); Oliveira, Angélica Navarro de (57225665858); Oliveira, Camila Maciel de (59547262200); Veloso, Adriano Alonso (7003736503); Gomes, Karina Braga (12139608400)</t>
  </si>
  <si>
    <t>Araújo D.C.; Simões R.; Sabino A.D.P.; Oliveira A.N.D.; Oliveira C.M.D.; Veloso A.A.; Gomes K.B.</t>
  </si>
  <si>
    <t>2-s2.0-85189757196</t>
  </si>
  <si>
    <t>https://www.scopus.com/pages/publications/85189757196?origin=resultslist</t>
  </si>
  <si>
    <t>10.1016/j.bspc.2024.106274</t>
  </si>
  <si>
    <t>Biomedical Signal Processing and Control</t>
  </si>
  <si>
    <t>Multi-channel delineation of intracardiac electrograms for arrhythmia substrate analysis using implicitly regularized convolutional neural network with wide receptive field</t>
  </si>
  <si>
    <t>56764705500; 57678350900; 35766564300; 12778807100</t>
  </si>
  <si>
    <t>Hejc, Jakub (56764705500); Redina, Richard (57678350900); Kolarova, Jana (35766564300); Starek, Zdenek (12778807100)</t>
  </si>
  <si>
    <t>Hejc J.; Redina R.; Kolarova J.; Starek Z.</t>
  </si>
  <si>
    <t>2-s2.0-105023567159</t>
  </si>
  <si>
    <t>https://www.scopus.com/pages/publications/105023567159?origin=resultslist</t>
  </si>
  <si>
    <t>10.1515/auto-2025-0087</t>
  </si>
  <si>
    <t>Experimental classification of acoustic emissions from oral behaviors including bruxism using deep learning; [Experimentelle Klassifizierung akustischer Emission aus oralen Verhaltensweisen einschliesslich Bruxismus unter Verwendung von Deep Learning]</t>
  </si>
  <si>
    <t>57196402174; 7004801850; 56245554800; 6506422723; 55637906600; 26423348100</t>
  </si>
  <si>
    <t>Nahhas, Mohammad Khair (57196402174); Türp, Jens Christoph (7004801850); Gerig, Nicolas (56245554800); Cattin, Philippe (6506422723); Wilhelm, Elisabeth (55637906600); Rauter, Georg (26423348100)</t>
  </si>
  <si>
    <t>Nahhas M.K.; Türp J.C.; Gerig N.; Cattin P.; Wilhelm E.; Rauter G.</t>
  </si>
  <si>
    <t>2-s2.0-85186531970</t>
  </si>
  <si>
    <t>https://www.scopus.com/pages/publications/85186531970?origin=resultslist</t>
  </si>
  <si>
    <t>10.1109/ITSC57777.2023.10421895</t>
  </si>
  <si>
    <t>IEEE Conference on Intelligent Transportation Systems, Proceedings, ITSC</t>
  </si>
  <si>
    <t>AirFusion: A Machine Learning Framework for Balancing Air Traffic Demand and Airspace Capacity Through Dynamic Airspace Sectorization</t>
  </si>
  <si>
    <t>58896541700; 57007746500; 12793249800</t>
  </si>
  <si>
    <t>Zhou, Wei (58896541700); Pham, Duc-Thinh (57007746500); Alam, Sameer (12793249800)</t>
  </si>
  <si>
    <t>Zhou W.; Pham D.-T.; Alam S.</t>
  </si>
  <si>
    <t>2-s2.0-85216100340</t>
  </si>
  <si>
    <t>https://www.scopus.com/pages/publications/85216100340?origin=resultslist</t>
  </si>
  <si>
    <t>10.18420/inf2024_128</t>
  </si>
  <si>
    <t>Lecture Notes in Informatics (LNI), Proceedings - Series of the Gesellschaft fur Informatik (GI)</t>
  </si>
  <si>
    <t>Data Analytics as a Service - Challenges and Opportunities : An Introduction to DAS-24</t>
  </si>
  <si>
    <t>57189237153; 6507441994; 59529582600</t>
  </si>
  <si>
    <t>Keller, Barbara (57189237153); Möhring, Michael (6507441994); Augenstein, Friedrich (59529582600)</t>
  </si>
  <si>
    <t>Keller B.; Möhring M.; Augenstein F.</t>
  </si>
  <si>
    <t>2-s2.0-85197557591</t>
  </si>
  <si>
    <t>https://www.scopus.com/pages/publications/85197557591?origin=resultslist</t>
  </si>
  <si>
    <t>10.1109/JBHI.2024.3422874</t>
  </si>
  <si>
    <t>IEEE Journal of Biomedical and Health Informatics</t>
  </si>
  <si>
    <t>Weakly Supervised Classification for Nasopharyngeal Carcinoma with Transformer in Whole Slide Images</t>
  </si>
  <si>
    <t>57580882800; 56610385100; 55598017400; 57348274700; 57211300875; 58168322600; 58168754200; 57194691068; 36463370900; 55625986800; 57208691754</t>
  </si>
  <si>
    <t>Hu, Ziwei (57580882800); Wang, Jianchao (56610385100); Gao, Qinquan (55598017400); Wu, Zhida (57348274700); Xu, Hanchuan (57211300875); Guo, Zhechen (58168322600); Quan, Jiawei (58168754200); Zhong, Lihua (57194691068); Du, Min (36463370900); Tong, Tong (55625986800); Chen, Gang (57208691754)</t>
  </si>
  <si>
    <t>Hu Z.; Wang J.; Gao Q.; Wu Z.; Xu H.; Guo Z.; Quan J.; Zhong L.; Du M.; Tong T.; Chen G.</t>
  </si>
  <si>
    <t>2-s2.0-85126261490</t>
  </si>
  <si>
    <t>https://www.scopus.com/pages/publications/85126261490?origin=resultslist</t>
  </si>
  <si>
    <t>10.1007/978-981-16-7657-4_54</t>
  </si>
  <si>
    <t>Interruption Detection for Detection and Quantification of QRS Fragmentation Based on Machine Learning and Deep Learning Technique</t>
  </si>
  <si>
    <t>57486150100; 55751854400</t>
  </si>
  <si>
    <t>Banu, Afsana (57486150100); Manjunath, K.G. (55751854400)</t>
  </si>
  <si>
    <t>Banu A.; Manjunath K.G.</t>
  </si>
  <si>
    <t>2-s2.0-105000211244</t>
  </si>
  <si>
    <t>https://www.scopus.com/pages/publications/105000211244?origin=resultslist</t>
  </si>
  <si>
    <t>10.1016/j.compag.2025.110265</t>
  </si>
  <si>
    <t>Computers and Electronics in Agriculture</t>
  </si>
  <si>
    <t>A novel architecture for automated delineation of the agricultural fields using partial training data in remote sensing images</t>
  </si>
  <si>
    <t>58896008400; 16315027400; 57484743000</t>
  </si>
  <si>
    <t>KC, Sumesh (58896008400); Aryal, Jagannath (16315027400); Ryu, Dongryeol (57484743000)</t>
  </si>
  <si>
    <t>KC S.; Aryal J.; Ryu D.</t>
  </si>
  <si>
    <t>2-s2.0-85099566725</t>
  </si>
  <si>
    <t>https://www.scopus.com/pages/publications/85099566725?origin=resultslist</t>
  </si>
  <si>
    <t>10.1109/JBHI.2021.3050963</t>
  </si>
  <si>
    <t>ScASK: A Novel Ensemble Framework for Classifying Cell Types Based on Single-cell RNA-seq Data</t>
  </si>
  <si>
    <t>59810428900; 55843631800; 7203047857</t>
  </si>
  <si>
    <t>Liu, Bo (59810428900); Wu, Fang-Xiang (55843631800); Zou, Xiufen (7203047857)</t>
  </si>
  <si>
    <t>Liu B.; Wu F.-X.; Zou X.</t>
  </si>
  <si>
    <t>2-s2.0-85200494249</t>
  </si>
  <si>
    <t>https://www.scopus.com/pages/publications/85200494249?origin=resultslist</t>
  </si>
  <si>
    <t>10.1109/ICDE60146.2024.00398</t>
  </si>
  <si>
    <t>Proceedings - International Conference on Data Engineering</t>
  </si>
  <si>
    <t>Online Index Recommendation for Slow Queries</t>
  </si>
  <si>
    <t>58727962600; 35736921600; 58727565300; 58728751700; 58729546600; 58728751800; 58677075400; 59247408700</t>
  </si>
  <si>
    <t>Peng, Gan (58727962600); Cai, Peng (35736921600); Ye, Kaikai (58727565300); Li, Kai (58728751700); Cai, Jinlong (58729546600); Shen, Yufeng (58728751800); Su, Han (58677075400); Xu, Weiyuan (59247408700)</t>
  </si>
  <si>
    <t>Peng G.; Cai P.; Ye K.; Li K.; Cai J.; Shen Y.; Su H.; Xu W.</t>
  </si>
  <si>
    <t>2-s2.0-105033440323</t>
  </si>
  <si>
    <t>https://www.scopus.com/pages/publications/105033440323?origin=resultslist</t>
  </si>
  <si>
    <t>10.1016/j.neucom.2026.133273</t>
  </si>
  <si>
    <t>Neurocomputing</t>
  </si>
  <si>
    <t>MBP: Rethinking class-imbalanced semi-supervised learning from the multi-binary perspective</t>
  </si>
  <si>
    <t>60518474300; 58315222900; 8242998500</t>
  </si>
  <si>
    <t>Ye, Chentao (60518474300); Meng, Qingyi (58315222900); Ouyang, Jihong (8242998500)</t>
  </si>
  <si>
    <t>Ye C.; Meng Q.; Ouyang J.</t>
  </si>
  <si>
    <t>2-s2.0-85117017416</t>
  </si>
  <si>
    <t>https://www.scopus.com/pages/publications/85117017416?origin=resultslist</t>
  </si>
  <si>
    <t>10.32604/cmc.2022.021195</t>
  </si>
  <si>
    <t>Computers, Materials and Continua</t>
  </si>
  <si>
    <t>Machine learning based depression, anxiety, and stress predictive model during COVID-19 crisis</t>
  </si>
  <si>
    <t>57211901842; 57205020743; 57202837434; 57223407265; 57204360566; 57224513486</t>
  </si>
  <si>
    <t>Al-Wesabi, Fahd N. (57211901842); Alsolai, Hadeel (57205020743); Hilal, Anwer Mustafa (57202837434); Hamza, Manar Ahmed (57223407265); Duhayyim, Mesfer Al (57204360566); Negm, Noha (57224513486)</t>
  </si>
  <si>
    <t>Al-Wesabi F.N.; Alsolai H.; Hilal A.M.; Hamza M.A.; Duhayyim M.A.; Negm N.</t>
  </si>
  <si>
    <t>2-s2.0-85151010654</t>
  </si>
  <si>
    <t>https://www.scopus.com/pages/publications/85151010654?origin=resultslist</t>
  </si>
  <si>
    <t>10.1109/TLA.2023.10068843</t>
  </si>
  <si>
    <t>IEEE Latin America Transactions</t>
  </si>
  <si>
    <t>Prediction Model for Common Mental Disorder and Depression in Users of Psychoactive Drugs</t>
  </si>
  <si>
    <t>58160199000; 58159974800; 58160199100; 57221973845</t>
  </si>
  <si>
    <t>Ximenes De Brito, Rhyan (58160199000); Rolim Fernandes, Carlos Alexandre (58159974800); Martins Moreira, Roberta Magda (58160199100); Oliveira, Eliany Nazare (57221973845)</t>
  </si>
  <si>
    <t>Ximenes De Brito R.; Rolim Fernandes C.A.; Martins Moreira R.M.; Oliveira E.N.</t>
  </si>
  <si>
    <t>2-s2.0-85150988643</t>
  </si>
  <si>
    <t>https://www.scopus.com/pages/publications/85150988643?origin=resultslist</t>
  </si>
  <si>
    <t>10.1108/JSIT-07-2022-0166</t>
  </si>
  <si>
    <t>Journal of Systems and Information Technology</t>
  </si>
  <si>
    <t>Persuasive communication systems: a machine learning approach to predict the effect of linguistic styles and persuasion techniques</t>
  </si>
  <si>
    <t>58059729100; 15020266500</t>
  </si>
  <si>
    <t>Braca, Annye (58059729100); Dondio, Pierpaolo (15020266500)</t>
  </si>
  <si>
    <t>Braca A.; Dondio P.</t>
  </si>
  <si>
    <t>2-s2.0-105032560291</t>
  </si>
  <si>
    <t>Article in press</t>
  </si>
  <si>
    <t>https://www.scopus.com/pages/publications/105032560291?origin=resultslist</t>
  </si>
  <si>
    <t>10.1080/20964471.2026.2631900</t>
  </si>
  <si>
    <t>Big Earth Data</t>
  </si>
  <si>
    <t>Soybean yield estimation in the Brazilian Midwest using Sentinel-2 imagery</t>
  </si>
  <si>
    <t>59300270100; 60479718500; 57218768888; 57217558548; 57194165611; 35105122700; 8562505600; 23974652400; 55203676400; 57201185210</t>
  </si>
  <si>
    <t>de Carvalho Pereira, Ester (59300270100); Pereira dos Santos, Geovani (60479718500); Chaves, Michel E. D. (57218768888); Salgado, Gabriela Cristina (57217558548); Poppiel, Raul Roberto (57194165611); Kaster, Daniel S. (35105122700); Yuan, Wenping (8562505600); Junqueira, Cynthia (23974652400); Chinatto, Adilson (55203676400); dos Santos Luciano, Ana Cláudia (57201185210)</t>
  </si>
  <si>
    <t>de Carvalho Pereira E.; Pereira dos Santos G.; Chaves M.E.D.; Salgado G.C.; Poppiel R.R.; Kaster D.S.; Yuan W.; Junqueira C.; Chinatto A.; dos Santos Luciano A.C.</t>
  </si>
  <si>
    <t>2-s2.0-85114001917</t>
  </si>
  <si>
    <t>https://www.scopus.com/pages/publications/85114001917?origin=resultslist</t>
  </si>
  <si>
    <t>10.1109/ACCESS.2021.3104263</t>
  </si>
  <si>
    <t>Real-Time Non-Intrusive Electrical Load Classification over IoT Using Machine Learning</t>
  </si>
  <si>
    <t>57189489690; 57204312780; 22033406500; 55765000567; 59895788100; 26422996300; 59282363200</t>
  </si>
  <si>
    <t>Ahammed, Md. Tanvir (57189489690); Hasan, Md. Mehedi (57204312780); Arefin, Md. Shamsul (22033406500); Islam, Md. Rafiqul (55765000567); Rahman, Md. Aminur (59895788100); Hossain, Eklas (26422996300); Hasan, Md. Tanvir (59282363200)</t>
  </si>
  <si>
    <t>Ahammed M.T.; Hasan M.M.; Arefin M.S.; Islam M.R.; Rahman M.A.; Hossain E.; Hasan M.T.</t>
  </si>
  <si>
    <t>2-s2.0-105031521132</t>
  </si>
  <si>
    <t>https://www.scopus.com/pages/publications/105031521132?origin=resultslist</t>
  </si>
  <si>
    <t>10.1007/978-3-031-72378-0_23</t>
  </si>
  <si>
    <t>15001 LNCS</t>
  </si>
  <si>
    <t>Confidence-Guided Semi-supervised Learning for Generalized Lesion Localization in X-Ray Images</t>
  </si>
  <si>
    <t>59147765900; 57665745300; 58281690300; 58612249800; 25422481200; 56406670700</t>
  </si>
  <si>
    <t>Das, Abhijit (59147765900); Gorade, Vandan (57665745300); Kumar, Komal (58281690300); Chakraborty, Snehashis (58612249800); Mahapatra, Dwarikanath (25422481200); Roy, Sudipta (56406670700)</t>
  </si>
  <si>
    <t>Das A.; Gorade V.; Kumar K.; Chakraborty S.; Mahapatra D.; Roy S.</t>
  </si>
  <si>
    <t>2-s2.0-85152590246</t>
  </si>
  <si>
    <t>https://www.scopus.com/pages/publications/85152590246?origin=resultslist</t>
  </si>
  <si>
    <t>10.1007/978-3-031-29786-1_13</t>
  </si>
  <si>
    <t>13975 LNCS</t>
  </si>
  <si>
    <t>Lecture Notes in Computer Science (including subseries Lecture Notes in Artificial Intelligence and Lecture Notes in Bioinformatics)</t>
  </si>
  <si>
    <t>Requirements Engineering for Automotive Perception Systems: An Interview Study</t>
  </si>
  <si>
    <t>58127545400; 57216546553; 25723089800; 9042245700; 24829443700; 37103431600; 55514076500; 6507675463; 58127540200</t>
  </si>
  <si>
    <t>Habibullah, Khan Mohammad (58127545400); Heyn, Hans-Martin (57216546553); Gay, Gregory (25723089800); Horkoff, Jennifer (9042245700); Knauss, Eric (24829443700); Borg, Markus (37103431600); Knauss, Alessia (55514076500); Sivencrona, Håkan (6507675463); Li, Jing (58127540200)</t>
  </si>
  <si>
    <t>Habibullah K.M.; Heyn H.-M.; Gay G.; Horkoff J.; Knauss E.; Borg M.; Knauss A.; Sivencrona H.; Li J.</t>
  </si>
  <si>
    <t>2-s2.0-105012273175</t>
  </si>
  <si>
    <t>https://www.scopus.com/pages/publications/105012273175?origin=resultslist</t>
  </si>
  <si>
    <t>10.1016/j.compag.2025.110809</t>
  </si>
  <si>
    <t>Leveraging satellite imagery and yield records to assess in-season maize field functionality with machine learning classification</t>
  </si>
  <si>
    <t>56963379100; 60024501600; 60024501700; 55022751800; 56964252700; 56674726800; 55307482300; 6602252739</t>
  </si>
  <si>
    <t>Cohen, Yafit (56963379100); Malka, Amit (60024501600); Goldwasser, Yonatan (60024501700); Scudiero, Elia (55022751800); Goldshtein, Eitan (56964252700); Keisar, Ohaliav (56674726800); Lidor, Guy (55307482300); Ravid, Gilad (6602252739)</t>
  </si>
  <si>
    <t>Cohen Y.; Malka A.; Goldwasser Y.; Scudiero E.; Goldshtein E.; Keisar O.; Lidor G.; Ravid G.</t>
  </si>
  <si>
    <t>2-s2.0-85143338276</t>
  </si>
  <si>
    <t>https://www.scopus.com/pages/publications/85143338276?origin=resultslist</t>
  </si>
  <si>
    <t>13th International Conference on Advances in Computing, Control, and Telecommunication Technologies, ACT 2022</t>
  </si>
  <si>
    <t>An Empirical Study of Safety Models used in Driver Assistance Systems from a Statistical Perspective</t>
  </si>
  <si>
    <t>57982503400; 18133852500</t>
  </si>
  <si>
    <t>Wakode, Rashmi A. (57982503400); Mohod, S.W. (18133852500)</t>
  </si>
  <si>
    <t>Wakode R.A.; Mohod S.W.</t>
  </si>
  <si>
    <t>2-s2.0-85211983826</t>
  </si>
  <si>
    <t>https://www.scopus.com/pages/publications/85211983826?origin=resultslist</t>
  </si>
  <si>
    <t>10.1093/nargab/lqae165</t>
  </si>
  <si>
    <t>lqae165</t>
  </si>
  <si>
    <t>NAR Genomics and Bioinformatics</t>
  </si>
  <si>
    <t>IsopretGO—analysing and visualizing the functional consequences of differential splicing</t>
  </si>
  <si>
    <t>24779238800; 55827369000; 59471454600; 7403719646</t>
  </si>
  <si>
    <t>Karlebach, Guy (24779238800); Hansen, Peter (55827369000); Köhler, Kristin (59471454600); Robinson, Peter N. (7403719646)</t>
  </si>
  <si>
    <t>Karlebach G.; Hansen P.; Köhler K.; Robinson P.N.</t>
  </si>
  <si>
    <t>2-s2.0-85114726521</t>
  </si>
  <si>
    <t>https://www.scopus.com/pages/publications/85114726521?origin=resultslist</t>
  </si>
  <si>
    <t>10.1109/LES.2021.3110426</t>
  </si>
  <si>
    <t>IEEE Embedded Systems Letters</t>
  </si>
  <si>
    <t>DAS: Dynamic Adaptive Scheduling for Energy-Efficient Heterogeneous SoCs</t>
  </si>
  <si>
    <t>57218243613; 57212904923; 57654030500; 57215563469; 24479551600; 35555100900; 9038580800</t>
  </si>
  <si>
    <t>Goksoy, A. Alper (57218243613); Krishnakumar, Anish (57212904923); Hassan, Md Sahil (57654030500); Farcas, Allen J. (57215563469); Akoglu, Ali (24479551600); Marculescu, Radu (35555100900); Ogras, Umit Y. (9038580800)</t>
  </si>
  <si>
    <t>Goksoy A.A.; Krishnakumar A.; Hassan M.S.; Farcas A.J.; Akoglu A.; Marculescu R.; Ogras U.Y.</t>
  </si>
  <si>
    <t>2-s2.0-85138192278</t>
  </si>
  <si>
    <t>https://www.scopus.com/pages/publications/85138192278?origin=resultslist</t>
  </si>
  <si>
    <t>10.1515/auto-2022-0020</t>
  </si>
  <si>
    <t>PAISE®- Das Vorgehensmodell für KI-Engineering; [PAISE®- process model for AI systems engineering]</t>
  </si>
  <si>
    <t>59792744700; 57892776200</t>
  </si>
  <si>
    <t>Hasterok, Constanze (59792744700); Stompe, Janina (57892776200)</t>
  </si>
  <si>
    <t>Hasterok C.; Stompe J.</t>
  </si>
  <si>
    <t>2-s2.0-85200498395</t>
  </si>
  <si>
    <t>https://www.scopus.com/pages/publications/85200498395?origin=resultslist</t>
  </si>
  <si>
    <t>10.1109/CBMS61543.2024.00031</t>
  </si>
  <si>
    <t>Proceedings - IEEE Symposium on Computer-Based Medical Systems</t>
  </si>
  <si>
    <t>External validation and interpretability of machine learning-based risk prediction for major adverse cardiovascular events</t>
  </si>
  <si>
    <t>57219747756; 53983095000; 7102809614; 8255717400; 6506181712; 55503749000; 55932813100; 57218760488</t>
  </si>
  <si>
    <t>Shimizu, Gilson Yuuji (57219747756); Romao, Elen Almeida (53983095000); Da Costa, Jose Abrao Cardeal (7102809614); De Azevedo-Marques, Joao Mazzoncini (8255717400); Scarpelini, Sandro (6506181712); Suzuki, Katia Mitiko Firmino (55503749000); Cesar, Hilton Vicente (55932813100); Azevedo-Marques, Paulo M. (57218760488)</t>
  </si>
  <si>
    <t>Shimizu G.Y.; Romao E.A.; Da Costa J.A.C.; De Azevedo-Marques J.M.; Scarpelini S.; Suzuki K.M.F.; Cesar H.V.; Azevedo-Marques P.M.</t>
  </si>
  <si>
    <t>2-s2.0-85139151818</t>
  </si>
  <si>
    <t>https://www.scopus.com/pages/publications/85139151818?origin=resultslist</t>
  </si>
  <si>
    <t>10.1145/3543758.3543948</t>
  </si>
  <si>
    <t>ACM International Conference Proceeding Series</t>
  </si>
  <si>
    <t>Activity Recognition over Temporal Distance using Supervised Learning in the Context of Dementia Diagnostics</t>
  </si>
  <si>
    <t>57226600521; 57263755300; 35223676800; 7403870645</t>
  </si>
  <si>
    <t>Staab, Sergio (57226600521); Bröning, Lukas (57263755300); Luderschmidt, Johannes (35223676800); Martin, Ludger (7403870645)</t>
  </si>
  <si>
    <t>Staab S.; Bröning L.; Luderschmidt J.; Martin L.</t>
  </si>
  <si>
    <t>2-s2.0-85183252600</t>
  </si>
  <si>
    <t>https://www.scopus.com/pages/publications/85183252600?origin=resultslist</t>
  </si>
  <si>
    <t>10.3390/s24020430</t>
  </si>
  <si>
    <t>Effectiveness of Data Augmentation for Localization in WSNs Using Deep Learning for the Internet of Things</t>
  </si>
  <si>
    <t>2-s2.0-85099720137</t>
  </si>
  <si>
    <t>https://www.scopus.com/pages/publications/85099720137?origin=resultslist</t>
  </si>
  <si>
    <t>10.3390/s21030742</t>
  </si>
  <si>
    <t>Sensors (Switzerland)</t>
  </si>
  <si>
    <t>Early detection of plant viral disease using hyperspectral imaging and deep learning</t>
  </si>
  <si>
    <t>57205265380; 57200370110; 56023783000; 56524539600; 57188991461; 37047306800</t>
  </si>
  <si>
    <t>Nguyen, Canh (57205265380); Sagan, Vasit (57200370110); Maimaitiyiming, Matthew (56023783000); Maimaitijiang, Maitiniyazi (56524539600); Bhadra, Sourav (57188991461); Kwasniewski, Misha T. (37047306800)</t>
  </si>
  <si>
    <t>Nguyen C.; Sagan V.; Maimaitiyiming M.; Maimaitijiang M.; Bhadra S.; Kwasniewski M.T.</t>
  </si>
  <si>
    <t>2-s2.0-85150390698</t>
  </si>
  <si>
    <t>https://www.scopus.com/pages/publications/85150390698?origin=resultslist</t>
  </si>
  <si>
    <t>10.1145/3574198.3574221</t>
  </si>
  <si>
    <t>Prediction of drug effectiveness in rheumatoid arthritis patients based on machine learning algorithms</t>
  </si>
  <si>
    <t>57218177130; 57953881100; 57954578100; 57954813600; 57202581654</t>
  </si>
  <si>
    <t>Chen, Shengjia (57218177130); Gupta, Nikunj (57953881100); Galbraith, Woodward B. (57954578100); Shah, Valay (57954813600); Cirrone, Jacopo (57202581654)</t>
  </si>
  <si>
    <t>Chen S.; Gupta N.; Galbraith W.B.; Shah V.; Cirrone J.</t>
  </si>
  <si>
    <t>Total</t>
  </si>
  <si>
    <t>Relevence 0,1,0.5</t>
  </si>
  <si>
    <t>Methodology 0, 1, 0.5</t>
  </si>
  <si>
    <t>Limitations 0,1,0.5</t>
  </si>
  <si>
    <t>Findings 0,1,0.5</t>
  </si>
  <si>
    <t># of papers included</t>
  </si>
  <si>
    <t>Reference Type</t>
  </si>
  <si>
    <t># of papers</t>
  </si>
  <si>
    <t>Journal Article</t>
  </si>
  <si>
    <t>Conference Proceedings</t>
  </si>
  <si>
    <t>Review</t>
  </si>
  <si>
    <t>Database Screening</t>
  </si>
  <si>
    <t># Studies Identified</t>
  </si>
  <si>
    <t># Studies Pass Eligibility Assessment</t>
  </si>
  <si>
    <t># Studies Included</t>
  </si>
  <si>
    <t># 1st Filter duplication</t>
  </si>
  <si>
    <t>Score</t>
  </si>
  <si>
    <t>Multiple machine learning models</t>
  </si>
  <si>
    <t>Fiber-optic Distributed Acoustic Sensing signal classification</t>
  </si>
  <si>
    <t>Comparative performance analysis; exact metrics not available from metadata</t>
  </si>
  <si>
    <t>Comparative ML-based seismic activity monitoring using DAS signals</t>
  </si>
  <si>
    <t>Fiber-optic DAS seismic activity data</t>
  </si>
  <si>
    <r>
      <t>LSSVM (Least Squares Support Vector Machine)</t>
    </r>
    <r>
      <rPr>
        <sz val="11"/>
        <color theme="1"/>
        <rFont val="Calibri"/>
        <family val="2"/>
        <scheme val="minor"/>
      </rPr>
      <t xml:space="preserve"> was found to be the most effective model among those evaluated.</t>
    </r>
  </si>
  <si>
    <t>Metrics</t>
  </si>
  <si>
    <t>Variations</t>
  </si>
  <si>
    <t>Comparative ML-based seismic activity monitoring using fiber-optic DAS signals</t>
  </si>
  <si>
    <t>Accuracy / classification performance metrics not specified in accessible metadata</t>
  </si>
  <si>
    <t>RMSE</t>
  </si>
  <si>
    <t>CMG-GEM simulation dataset; Mahalanobis-distance-based outlier removal; comparison of ML models for CO₂ storage and oil production prediction</t>
  </si>
  <si>
    <t>CO₂ sequestration target achievement (%), well-placement efficiency, pressure constraint, breakthrough constraint</t>
  </si>
  <si>
    <t>Synthetic aquifer case; constrained Bayesian optimization; Gaussian Process surrogate; permutation-invariant kernel modification; acquisition-function-based well-placement search</t>
  </si>
  <si>
    <t>Detection reliability (%), error rate (%), latency (ms), detection range (m), strain sensitivity</t>
  </si>
  <si>
    <t>Anti-jitter signal processing; time–frequency analysis; edge computing for real-time DAS processing; federated learning (system-level extension)</t>
  </si>
  <si>
    <t>Bibliometric analysis using Scopus dataset; bibliometrix (R) for trend mapping</t>
  </si>
  <si>
    <t>Publication trends, thematic distribution, research growth (no ML performance metrics)</t>
  </si>
  <si>
    <t>Φ-OTDR DAS sensing; spectral feature extraction (DFT); band-limited power analysis; sliding window segmentation; CNN-based classification</t>
  </si>
  <si>
    <t>Accuracy, Precision, Recall, F1-score</t>
  </si>
  <si>
    <t>Automated anomaly detection using DTS data; hybrid real + synthetic anomaly modeling; deviation-based detection workflow</t>
  </si>
  <si>
    <t>Detection sensitivity (temperature deviation), anomaly detection capability (°C threshold)</t>
  </si>
  <si>
    <t>Multi-sensor seismic acquisition (DAS + geophones); active seismic imaging; physics-based modeling</t>
  </si>
  <si>
    <t>Imaging quality, depth resolution (ms), signal validation vs geophones</t>
  </si>
  <si>
    <t>Short name</t>
  </si>
  <si>
    <t>DAS / fiber-optic sensing</t>
  </si>
  <si>
    <t>CO₂ / CCS monitoring</t>
  </si>
  <si>
    <t>Machine learning-based monitoring</t>
  </si>
  <si>
    <t>Anomaly detection</t>
  </si>
  <si>
    <t>Seismic activity monitoring</t>
  </si>
  <si>
    <t>Real-time / edge-based processing</t>
  </si>
  <si>
    <t>Federated learning extension</t>
  </si>
  <si>
    <t>Anti-jitter signal processing</t>
  </si>
  <si>
    <t>Time-frequency analysis</t>
  </si>
  <si>
    <t>Φ-OTDR DAS sensing</t>
  </si>
  <si>
    <t>Spectral feature extraction / DFT</t>
  </si>
  <si>
    <t>Band-limited power analysis</t>
  </si>
  <si>
    <t>Sliding-window segmentation</t>
  </si>
  <si>
    <t>CNN-based classification</t>
  </si>
  <si>
    <t>Random Forest anomaly detection</t>
  </si>
  <si>
    <t>DTS-based CCS monitoring</t>
  </si>
  <si>
    <t>Synthetic anomaly modeling</t>
  </si>
  <si>
    <t>Bayesian optimization</t>
  </si>
  <si>
    <t>Gaussian Process surrogate model</t>
  </si>
  <si>
    <t>Permutation-invariant kernel</t>
  </si>
  <si>
    <t>Mahalanobis-distance outlier removal</t>
  </si>
  <si>
    <t>CMG-GEM simulation</t>
  </si>
  <si>
    <t>Multi-sensor seismic acquisition</t>
  </si>
  <si>
    <t>DAS + geophone validation</t>
  </si>
  <si>
    <t>Bibliometric trend analysis</t>
  </si>
  <si>
    <t>Accuracy</t>
  </si>
  <si>
    <t>Precision</t>
  </si>
  <si>
    <t>Recall</t>
  </si>
  <si>
    <t>F1-score</t>
  </si>
  <si>
    <t>CO₂ sequestration target achievement (%)</t>
  </si>
  <si>
    <t>Well-placement efficiency</t>
  </si>
  <si>
    <t>Pressure constraint</t>
  </si>
  <si>
    <t>Breakthrough constraint</t>
  </si>
  <si>
    <t>Detection reliability (%)</t>
  </si>
  <si>
    <t>Error rate (%)</t>
  </si>
  <si>
    <t>Latency (ms)</t>
  </si>
  <si>
    <t>Detection range (m)</t>
  </si>
  <si>
    <t>Strain sensitivity</t>
  </si>
  <si>
    <t>Detection sensitivity / temperature deviation</t>
  </si>
  <si>
    <t>Anomaly detection capability</t>
  </si>
  <si>
    <t>Imaging quality</t>
  </si>
  <si>
    <t>Depth/time resolution (ms)</t>
  </si>
  <si>
    <t>Signal validation against geophones</t>
  </si>
  <si>
    <t>Publication trend</t>
  </si>
  <si>
    <t>Thematic distribution</t>
  </si>
  <si>
    <t>Research growth</t>
  </si>
  <si>
    <t>Classification performance not specified</t>
  </si>
  <si>
    <t>Parent</t>
  </si>
  <si>
    <t>Child</t>
  </si>
  <si>
    <t>#Parent</t>
  </si>
  <si>
    <t>#Child</t>
  </si>
  <si>
    <t>Machine Learning</t>
  </si>
  <si>
    <t>LSSVM</t>
  </si>
  <si>
    <t>Random Forest</t>
  </si>
  <si>
    <t>Comparative ML models</t>
  </si>
  <si>
    <t>Bayesian Optimization</t>
  </si>
  <si>
    <t>Bayesian Optimization with Gaussian Process</t>
  </si>
  <si>
    <t>Deep Learning</t>
  </si>
  <si>
    <t>CNN</t>
  </si>
  <si>
    <t>Edge Computing</t>
  </si>
  <si>
    <t>Edge-based DAS inference</t>
  </si>
  <si>
    <t>Federated Learning</t>
  </si>
  <si>
    <t>Signal Processing</t>
  </si>
  <si>
    <t>DFT / spectral feature extraction</t>
  </si>
  <si>
    <t>Geophysical Imaging</t>
  </si>
  <si>
    <t>Physics-based seismic imaging</t>
  </si>
  <si>
    <t>Bibliometric Analysis</t>
  </si>
  <si>
    <t>Bibliometrix R-based trend analysis</t>
  </si>
  <si>
    <t>GitHub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</si>
</sst>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amily val="2"/>
    </font>
    <font>
      <b/>
      <sz val="11"/>
      <color theme="1"/>
      <name val="Calibri"/>
      <family val="2"/>
      <scheme val="minor"/>
    </font>
    <font>
      <b/>
      <sz val="12"/>
      <color theme="0"/>
      <name val="Calibri"/>
      <family val="2"/>
      <scheme val="minor"/>
    </font>
    <font>
      <b/>
      <sz val="11"/>
      <color theme="0"/>
      <name val="Calibri"/>
      <family val="2"/>
      <scheme val="minor"/>
    </font>
    <font>
      <sz val="11"/>
      <color theme="0"/>
      <name val="Calibri"/>
      <family val="2"/>
      <scheme val="minor"/>
    </font>
    <font>
      <u/>
      <sz val="11"/>
      <color theme="10"/>
      <name val="Calibri"/>
      <family val="2"/>
    </font>
    <font>
      <u/>
      <sz val="11"/>
      <color theme="10"/>
      <name val="Calibri"/>
      <family val="2"/>
      <scheme val="minor"/>
    </font>
    <font>
      <b/>
      <sz val="11"/>
      <name val="Calibri"/>
      <family val="2"/>
      <scheme val="minor"/>
    </font>
    <font>
      <sz val="10"/>
      <color rgb="FF2E2E2E"/>
      <name val="Arial"/>
      <family val="2"/>
    </font>
  </fonts>
  <fills count="15">
    <fill>
      <patternFill patternType="none"/>
    </fill>
    <fill>
      <patternFill patternType="gray125"/>
    </fill>
    <fill>
      <patternFill patternType="solid">
        <fgColor rgb="FF1F4E79"/>
      </patternFill>
    </fill>
    <fill>
      <patternFill patternType="solid">
        <fgColor theme="3"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bgColor indexed="64"/>
      </patternFill>
    </fill>
    <fill>
      <patternFill patternType="solid">
        <fgColor theme="9" tint="0.59999389629810485"/>
        <bgColor indexed="64"/>
      </patternFill>
    </fill>
    <fill>
      <patternFill patternType="solid">
        <fgColor rgb="FF92D050"/>
        <bgColor indexed="64"/>
      </patternFill>
    </fill>
    <fill>
      <patternFill patternType="solid">
        <fgColor rgb="FF66FF33"/>
        <bgColor indexed="64"/>
      </patternFill>
    </fill>
    <fill>
      <patternFill patternType="solid">
        <fgColor theme="3" tint="0.59999389629810485"/>
        <bgColor theme="4" tint="0.59999389629810485"/>
      </patternFill>
    </fill>
    <fill>
      <patternFill patternType="solid">
        <fgColor theme="3" tint="0.59999389629810485"/>
        <bgColor indexed="64"/>
      </patternFill>
    </fill>
    <fill>
      <patternFill patternType="solid">
        <fgColor theme="4" tint="0.39997558519241921"/>
        <bgColor indexed="64"/>
      </patternFill>
    </fill>
    <fill>
      <patternFill patternType="solid">
        <fgColor rgb="FFFFFF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rgb="FF70AD47"/>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
      <left style="thin">
        <color indexed="64"/>
      </left>
      <right style="thin">
        <color theme="1"/>
      </right>
      <top style="thin">
        <color indexed="64"/>
      </top>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s>
  <cellStyleXfs count="3">
    <xf numFmtId="0" fontId="0" fillId="0" borderId="0"/>
    <xf numFmtId="0" fontId="6" fillId="0" borderId="0" applyNumberFormat="0" applyFill="0" applyBorder="0" applyAlignment="0" applyProtection="0">
      <alignment vertical="top"/>
      <protection locked="0"/>
    </xf>
    <xf numFmtId="0" fontId="7" fillId="0" borderId="0" applyNumberFormat="0" applyFill="0" applyBorder="0" applyAlignment="0" applyProtection="0"/>
  </cellStyleXfs>
  <cellXfs count="75">
    <xf numFmtId="0" fontId="0" fillId="0" borderId="0" xfId="0"/>
    <xf numFmtId="0" fontId="0" fillId="4" borderId="0" xfId="0" applyFill="1"/>
    <xf numFmtId="0" fontId="3" fillId="7" borderId="0" xfId="0" applyFont="1" applyFill="1"/>
    <xf numFmtId="0" fontId="5" fillId="7" borderId="0" xfId="0" applyFont="1" applyFill="1"/>
    <xf numFmtId="0" fontId="5" fillId="4" borderId="0" xfId="0" applyFont="1" applyFill="1"/>
    <xf numFmtId="0" fontId="4" fillId="7" borderId="2" xfId="0" applyFont="1" applyFill="1" applyBorder="1" applyAlignment="1">
      <alignment horizontal="center" vertical="top"/>
    </xf>
    <xf numFmtId="0" fontId="2" fillId="9" borderId="4" xfId="0" applyFont="1" applyFill="1" applyBorder="1" applyAlignment="1">
      <alignment horizontal="center"/>
    </xf>
    <xf numFmtId="0" fontId="0" fillId="10" borderId="5" xfId="0" applyFill="1" applyBorder="1"/>
    <xf numFmtId="0" fontId="0" fillId="0" borderId="5" xfId="0" applyBorder="1"/>
    <xf numFmtId="0" fontId="6" fillId="0" borderId="5" xfId="1" applyBorder="1" applyAlignment="1" applyProtection="1"/>
    <xf numFmtId="0" fontId="0" fillId="6" borderId="5" xfId="0" applyFill="1" applyBorder="1"/>
    <xf numFmtId="0" fontId="3" fillId="7" borderId="5" xfId="0" applyFont="1" applyFill="1" applyBorder="1"/>
    <xf numFmtId="0" fontId="0" fillId="4" borderId="3" xfId="0" applyFill="1" applyBorder="1"/>
    <xf numFmtId="0" fontId="0" fillId="4" borderId="5" xfId="0" applyFill="1" applyBorder="1"/>
    <xf numFmtId="0" fontId="0" fillId="0" borderId="7" xfId="0" applyBorder="1"/>
    <xf numFmtId="0" fontId="6" fillId="0" borderId="7" xfId="1" applyBorder="1" applyAlignment="1" applyProtection="1"/>
    <xf numFmtId="0" fontId="0" fillId="0" borderId="8" xfId="0" applyBorder="1"/>
    <xf numFmtId="0" fontId="6" fillId="0" borderId="8" xfId="1" applyBorder="1" applyAlignment="1" applyProtection="1"/>
    <xf numFmtId="0" fontId="1" fillId="2" borderId="5" xfId="0" applyFont="1" applyFill="1" applyBorder="1" applyAlignment="1">
      <alignment horizontal="center" vertical="center" wrapText="1"/>
    </xf>
    <xf numFmtId="0" fontId="1" fillId="2" borderId="5" xfId="0" applyFont="1" applyFill="1" applyBorder="1" applyAlignment="1">
      <alignment horizontal="center" vertical="center"/>
    </xf>
    <xf numFmtId="0" fontId="0" fillId="0" borderId="5" xfId="0" applyBorder="1" applyAlignment="1">
      <alignment wrapText="1"/>
    </xf>
    <xf numFmtId="0" fontId="0" fillId="3" borderId="5" xfId="0" applyFill="1" applyBorder="1" applyAlignment="1">
      <alignment wrapText="1"/>
    </xf>
    <xf numFmtId="0" fontId="0" fillId="6" borderId="5" xfId="0" applyFill="1" applyBorder="1" applyAlignment="1">
      <alignment wrapText="1"/>
    </xf>
    <xf numFmtId="0" fontId="0" fillId="5" borderId="5" xfId="0" applyFill="1" applyBorder="1"/>
    <xf numFmtId="0" fontId="0" fillId="5" borderId="5" xfId="0" applyFill="1" applyBorder="1" applyAlignment="1">
      <alignment wrapText="1"/>
    </xf>
    <xf numFmtId="0" fontId="6" fillId="4" borderId="5" xfId="1" applyFill="1" applyBorder="1" applyAlignment="1" applyProtection="1"/>
    <xf numFmtId="0" fontId="0" fillId="4" borderId="5" xfId="0" applyFill="1" applyBorder="1" applyAlignment="1">
      <alignment wrapText="1"/>
    </xf>
    <xf numFmtId="0" fontId="0" fillId="11" borderId="5" xfId="0" applyFill="1" applyBorder="1"/>
    <xf numFmtId="0" fontId="0" fillId="12" borderId="5" xfId="0" applyFill="1" applyBorder="1"/>
    <xf numFmtId="0" fontId="0" fillId="12" borderId="6" xfId="0" applyFill="1" applyBorder="1"/>
    <xf numFmtId="0" fontId="0" fillId="12" borderId="5" xfId="0" applyFill="1" applyBorder="1" applyAlignment="1">
      <alignment wrapText="1"/>
    </xf>
    <xf numFmtId="0" fontId="6" fillId="12" borderId="5" xfId="1" applyFill="1" applyBorder="1" applyAlignment="1" applyProtection="1"/>
    <xf numFmtId="0" fontId="0" fillId="13" borderId="5" xfId="0" applyFill="1" applyBorder="1"/>
    <xf numFmtId="0" fontId="6" fillId="13" borderId="5" xfId="1" applyFill="1" applyBorder="1" applyAlignment="1" applyProtection="1"/>
    <xf numFmtId="0" fontId="0" fillId="0" borderId="1" xfId="0" applyBorder="1" applyAlignment="1">
      <alignment horizontal="center" vertical="center"/>
    </xf>
    <xf numFmtId="0" fontId="0" fillId="0" borderId="1" xfId="0" applyBorder="1" applyAlignment="1">
      <alignment horizontal="center" vertical="center" wrapText="1"/>
    </xf>
    <xf numFmtId="0" fontId="6" fillId="14" borderId="5" xfId="1" applyFill="1" applyBorder="1" applyAlignment="1" applyProtection="1">
      <alignment horizontal="left" vertical="top"/>
    </xf>
    <xf numFmtId="0" fontId="6" fillId="14" borderId="5" xfId="1" applyFill="1" applyBorder="1" applyAlignment="1" applyProtection="1">
      <alignment horizontal="right" vertical="top"/>
    </xf>
    <xf numFmtId="0" fontId="9" fillId="14" borderId="5" xfId="0" applyFont="1" applyFill="1" applyBorder="1" applyAlignment="1">
      <alignment vertical="top" wrapText="1"/>
    </xf>
    <xf numFmtId="0" fontId="6" fillId="14" borderId="5" xfId="1" applyFill="1" applyBorder="1" applyAlignment="1" applyProtection="1">
      <alignment horizontal="right" vertical="top" wrapText="1"/>
    </xf>
    <xf numFmtId="0" fontId="2" fillId="9" borderId="1" xfId="0" applyFont="1" applyFill="1" applyBorder="1" applyAlignment="1">
      <alignment horizontal="center" vertical="center"/>
    </xf>
    <xf numFmtId="0" fontId="2" fillId="9" borderId="1" xfId="0" applyFont="1" applyFill="1" applyBorder="1" applyAlignment="1">
      <alignment horizontal="center" vertical="center" wrapText="1"/>
    </xf>
    <xf numFmtId="0" fontId="0" fillId="0" borderId="1" xfId="0" applyBorder="1" applyAlignment="1">
      <alignment wrapText="1"/>
    </xf>
    <xf numFmtId="0" fontId="0" fillId="0" borderId="1" xfId="0" applyBorder="1"/>
    <xf numFmtId="0" fontId="2" fillId="9" borderId="1" xfId="0" applyFont="1" applyFill="1" applyBorder="1" applyAlignment="1">
      <alignment horizontal="center"/>
    </xf>
    <xf numFmtId="0" fontId="8" fillId="9" borderId="1" xfId="0" applyFont="1" applyFill="1" applyBorder="1" applyAlignment="1">
      <alignment horizontal="center" vertical="center"/>
    </xf>
    <xf numFmtId="0" fontId="8" fillId="9" borderId="1" xfId="0" applyFont="1" applyFill="1" applyBorder="1" applyAlignment="1">
      <alignment horizontal="center" vertical="center" wrapText="1"/>
    </xf>
    <xf numFmtId="0" fontId="0" fillId="9" borderId="1" xfId="0" applyFill="1" applyBorder="1" applyAlignment="1">
      <alignment horizontal="center"/>
    </xf>
    <xf numFmtId="0" fontId="0" fillId="9" borderId="1" xfId="0" applyFill="1" applyBorder="1" applyAlignment="1">
      <alignment horizontal="center" vertical="center" wrapText="1"/>
    </xf>
    <xf numFmtId="0" fontId="2" fillId="8"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0" fillId="0" borderId="1" xfId="0" applyBorder="1" applyAlignment="1">
      <alignment horizontal="center"/>
    </xf>
    <xf numFmtId="0" fontId="0" fillId="13" borderId="0" xfId="0" applyFill="1" applyAlignment="1">
      <alignment wrapText="1"/>
    </xf>
    <xf numFmtId="0" fontId="0" fillId="5" borderId="7" xfId="0" applyFill="1" applyBorder="1"/>
    <xf numFmtId="0" fontId="0" fillId="0" borderId="11" xfId="0" applyBorder="1"/>
    <xf numFmtId="0" fontId="0" fillId="0" borderId="11" xfId="0" applyBorder="1" applyAlignment="1">
      <alignment wrapText="1"/>
    </xf>
    <xf numFmtId="0" fontId="0" fillId="3" borderId="11" xfId="0" applyFill="1" applyBorder="1" applyAlignment="1">
      <alignment wrapText="1"/>
    </xf>
    <xf numFmtId="0" fontId="0" fillId="6" borderId="11" xfId="0" applyFill="1" applyBorder="1" applyAlignment="1">
      <alignment wrapText="1"/>
    </xf>
    <xf numFmtId="0" fontId="0" fillId="5" borderId="11" xfId="0" applyFill="1" applyBorder="1"/>
    <xf numFmtId="0" fontId="0" fillId="5" borderId="12" xfId="0" applyFill="1" applyBorder="1"/>
    <xf numFmtId="0" fontId="1" fillId="2" borderId="2"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0" fillId="13" borderId="8" xfId="0" applyFill="1" applyBorder="1" applyAlignment="1">
      <alignment wrapText="1"/>
    </xf>
    <xf numFmtId="0" fontId="0" fillId="0" borderId="0" xfId="0" applyAlignment="1">
      <alignment wrapText="1"/>
    </xf>
    <xf numFmtId="0" fontId="0" fillId="7" borderId="9" xfId="0" applyFill="1" applyBorder="1" applyAlignment="1">
      <alignment horizontal="center" vertical="center" wrapText="1"/>
    </xf>
    <xf numFmtId="0" fontId="8" fillId="5" borderId="4" xfId="0" applyFont="1" applyFill="1" applyBorder="1" applyAlignment="1">
      <alignment horizontal="center" vertical="top"/>
    </xf>
    <xf numFmtId="0" fontId="0" fillId="3" borderId="0" xfId="0" applyFill="1" applyAlignment="1">
      <alignment wrapText="1"/>
    </xf>
    <xf numFmtId="0" fontId="0" fillId="6" borderId="0" xfId="0" applyFill="1" applyAlignment="1">
      <alignment wrapText="1"/>
    </xf>
    <xf numFmtId="0" fontId="0" fillId="5" borderId="0" xfId="0" applyFill="1" applyAlignment="1">
      <alignment wrapText="1"/>
    </xf>
    <xf numFmtId="0" fontId="2" fillId="9" borderId="0" xfId="0" applyFont="1" applyFill="1" applyAlignment="1">
      <alignment horizontal="center" vertical="center" wrapText="1"/>
    </xf>
    <xf numFmtId="0" fontId="2" fillId="9" borderId="1" xfId="0" applyFont="1" applyFill="1" applyBorder="1" applyAlignment="1">
      <alignment horizontal="right" vertical="center" wrapText="1"/>
    </xf>
    <xf numFmtId="0" fontId="0" fillId="0" borderId="1" xfId="0" applyBorder="1" applyAlignment="1">
      <alignment vertical="center" wrapText="1"/>
    </xf>
    <xf numFmtId="0" fontId="0" fillId="0" borderId="1" xfId="0" applyBorder="1" applyAlignment="1">
      <alignment horizontal="right" vertical="center" wrapText="1"/>
    </xf>
    <xf numFmtId="0" fontId="7" fillId="0" borderId="0" xfId="2"/>
    <xf numFmtId="0" fontId="6" fillId="0" borderId="0" xfId="1" applyAlignment="1" applyProtection="1"/>
  </cellXfs>
  <cellStyles count="3">
    <cellStyle name="Hyperlink" xfId="1" builtinId="8"/>
    <cellStyle name="Hyperlink 2" xfId="2" xr:uid="{8D9B43BC-DE56-4412-8156-93EE940D23A5}"/>
    <cellStyle name="Normal" xfId="0" builtinId="0"/>
  </cellStyles>
  <dxfs count="30">
    <dxf>
      <border diagonalUp="0" diagonalDown="0">
        <left style="thin">
          <color theme="0" tint="-0.249977111117893"/>
        </left>
        <right style="thin">
          <color theme="0" tint="-0.249977111117893"/>
        </right>
        <top/>
        <bottom/>
        <vertical style="thin">
          <color theme="0" tint="-0.249977111117893"/>
        </vertical>
        <horizontal style="thin">
          <color theme="0" tint="-0.249977111117893"/>
        </horizontal>
      </border>
    </dxf>
    <dxf>
      <font>
        <strike val="0"/>
        <outline val="0"/>
        <shadow val="0"/>
        <u val="none"/>
        <vertAlign val="baseline"/>
        <sz val="11"/>
        <color auto="1"/>
        <name val="Calibri"/>
        <family val="2"/>
      </font>
      <fill>
        <patternFill>
          <fgColor indexed="64"/>
          <bgColor theme="0"/>
        </patternFill>
      </fill>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bottom/>
        <vertical style="thin">
          <color theme="0" tint="-0.249977111117893"/>
        </vertical>
        <horizontal style="thin">
          <color theme="0" tint="-0.249977111117893"/>
        </horizontal>
      </border>
    </dxf>
    <dxf>
      <font>
        <strike val="0"/>
        <outline val="0"/>
        <shadow val="0"/>
        <u val="none"/>
        <vertAlign val="baseline"/>
        <sz val="11"/>
        <color auto="1"/>
        <name val="Calibri"/>
        <family val="2"/>
      </font>
      <fill>
        <patternFill>
          <fgColor indexed="64"/>
          <bgColor theme="0"/>
        </patternFill>
      </fill>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strike val="0"/>
        <outline val="0"/>
        <shadow val="0"/>
        <u val="none"/>
        <vertAlign val="baseline"/>
        <sz val="11"/>
        <color auto="1"/>
        <name val="Calibri"/>
        <family val="2"/>
      </font>
      <fill>
        <patternFill>
          <fgColor indexed="64"/>
          <bgColor theme="0"/>
        </patternFill>
      </fill>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strike val="0"/>
        <outline val="0"/>
        <shadow val="0"/>
        <u val="none"/>
        <vertAlign val="baseline"/>
        <sz val="11"/>
        <color auto="1"/>
        <name val="Calibri"/>
        <family val="2"/>
      </font>
      <fill>
        <patternFill>
          <fgColor indexed="64"/>
          <bgColor theme="0"/>
        </patternFill>
      </fill>
      <alignment horizontal="general" vertical="bottom" textRotation="0" wrapText="1"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strike val="0"/>
        <outline val="0"/>
        <shadow val="0"/>
        <u val="none"/>
        <vertAlign val="baseline"/>
        <sz val="11"/>
        <color auto="1"/>
        <name val="Calibri"/>
        <family val="2"/>
      </font>
      <fill>
        <patternFill>
          <fgColor indexed="64"/>
          <bgColor theme="0"/>
        </patternFill>
      </fill>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strike val="0"/>
        <outline val="0"/>
        <shadow val="0"/>
        <u val="none"/>
        <vertAlign val="baseline"/>
        <sz val="11"/>
        <color auto="1"/>
        <name val="Calibri"/>
        <family val="2"/>
      </font>
      <fill>
        <patternFill>
          <fgColor indexed="64"/>
          <bgColor theme="0"/>
        </patternFill>
      </fill>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ont>
        <strike val="0"/>
        <outline val="0"/>
        <shadow val="0"/>
        <u val="none"/>
        <vertAlign val="baseline"/>
        <sz val="11"/>
        <color auto="1"/>
        <name val="Calibri"/>
        <family val="2"/>
      </font>
      <fill>
        <patternFill>
          <fgColor indexed="64"/>
          <bgColor theme="0"/>
        </patternFill>
      </fill>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outline="0">
        <left style="thin">
          <color theme="0" tint="-0.249977111117893"/>
        </left>
        <right style="thin">
          <color theme="0" tint="-0.249977111117893"/>
        </right>
        <top style="thin">
          <color theme="0" tint="-0.249977111117893"/>
        </top>
        <bottom style="thin">
          <color theme="0" tint="-0.249977111117893"/>
        </bottom>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bottom/>
        <vertical style="thin">
          <color theme="0" tint="-0.249977111117893"/>
        </vertical>
        <horizontal style="thin">
          <color theme="0" tint="-0.249977111117893"/>
        </horizontal>
      </border>
    </dxf>
    <dxf>
      <border diagonalUp="0" diagonalDown="0">
        <left style="thin">
          <color theme="0" tint="-0.249977111117893"/>
        </left>
        <right style="thin">
          <color theme="0" tint="-0.249977111117893"/>
        </right>
        <top/>
        <bottom/>
        <vertical style="thin">
          <color theme="0" tint="-0.249977111117893"/>
        </vertical>
        <horizontal style="thin">
          <color theme="0" tint="-0.249977111117893"/>
        </horizontal>
      </border>
    </dxf>
  </dxfs>
  <tableStyles count="0" defaultTableStyle="TableStyleMedium2" defaultPivotStyle="PivotStyleLight16"/>
  <colors>
    <mruColors>
      <color rgb="FF0000FF"/>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Databases!$A$2</c:f>
              <c:strCache>
                <c:ptCount val="1"/>
                <c:pt idx="0">
                  <c:v>Scopus</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410C-4E39-B6A4-51D0675F9040}"/>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4-410C-4E39-B6A4-51D0675F90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72-4CF5-BA8C-FC8F2CF6FE80}"/>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2-410C-4E39-B6A4-51D0675F9040}"/>
              </c:ext>
            </c:extLst>
          </c:dPt>
          <c:dLbls>
            <c:dLbl>
              <c:idx val="3"/>
              <c:layout>
                <c:manualLayout>
                  <c:x val="6.8286512887187805E-3"/>
                  <c:y val="8.362235707045893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10C-4E39-B6A4-51D0675F90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Databases!$B$1:$E$1</c:f>
              <c:strCache>
                <c:ptCount val="4"/>
                <c:pt idx="0">
                  <c:v># Studies Identified</c:v>
                </c:pt>
                <c:pt idx="1">
                  <c:v># 1st Filter duplication</c:v>
                </c:pt>
                <c:pt idx="2">
                  <c:v># Studies Pass Eligibility Assessment</c:v>
                </c:pt>
                <c:pt idx="3">
                  <c:v># Studies Included</c:v>
                </c:pt>
              </c:strCache>
            </c:strRef>
          </c:cat>
          <c:val>
            <c:numRef>
              <c:f>Databases!$B$2:$E$2</c:f>
              <c:numCache>
                <c:formatCode>General</c:formatCode>
                <c:ptCount val="4"/>
                <c:pt idx="0">
                  <c:v>179</c:v>
                </c:pt>
                <c:pt idx="1">
                  <c:v>115</c:v>
                </c:pt>
                <c:pt idx="2">
                  <c:v>107</c:v>
                </c:pt>
                <c:pt idx="3">
                  <c:v>8</c:v>
                </c:pt>
              </c:numCache>
            </c:numRef>
          </c:val>
          <c:extLst>
            <c:ext xmlns:c16="http://schemas.microsoft.com/office/drawing/2014/chart" uri="{C3380CC4-5D6E-409C-BE32-E72D297353CC}">
              <c16:uniqueId val="{00000000-410C-4E39-B6A4-51D0675F904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15287717468272846"/>
          <c:y val="0.92565554475297096"/>
          <c:w val="0.66193536692404575"/>
          <c:h val="6.30373543876893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Quality and Eligibility Score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3.6173024138573068E-2"/>
          <c:y val="9.8856548856548862E-2"/>
          <c:w val="0.94957465520359019"/>
          <c:h val="0.74499255891982574"/>
        </c:manualLayout>
      </c:layout>
      <c:barChart>
        <c:barDir val="col"/>
        <c:grouping val="clustered"/>
        <c:varyColors val="0"/>
        <c:ser>
          <c:idx val="0"/>
          <c:order val="0"/>
          <c:tx>
            <c:strRef>
              <c:f>'#E&amp;QA'!$A$1</c:f>
              <c:strCache>
                <c:ptCount val="1"/>
                <c:pt idx="0">
                  <c:v>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'#E&amp;QA'!$A$2:$A$10</c:f>
              <c:numCache>
                <c:formatCode>General</c:formatCode>
                <c:ptCount val="9"/>
                <c:pt idx="0">
                  <c:v>0</c:v>
                </c:pt>
                <c:pt idx="1">
                  <c:v>0.5</c:v>
                </c:pt>
                <c:pt idx="2">
                  <c:v>1</c:v>
                </c:pt>
                <c:pt idx="3">
                  <c:v>1.5</c:v>
                </c:pt>
                <c:pt idx="4">
                  <c:v>2</c:v>
                </c:pt>
                <c:pt idx="5">
                  <c:v>2.5</c:v>
                </c:pt>
                <c:pt idx="6">
                  <c:v>3</c:v>
                </c:pt>
                <c:pt idx="7">
                  <c:v>3.5</c:v>
                </c:pt>
                <c:pt idx="8">
                  <c:v>4</c:v>
                </c:pt>
              </c:numCache>
            </c:numRef>
          </c:val>
          <c:extLst>
            <c:ext xmlns:c16="http://schemas.microsoft.com/office/drawing/2014/chart" uri="{C3380CC4-5D6E-409C-BE32-E72D297353CC}">
              <c16:uniqueId val="{00000000-AFCE-496B-BDA0-4006A2AE484B}"/>
            </c:ext>
          </c:extLst>
        </c:ser>
        <c:ser>
          <c:idx val="1"/>
          <c:order val="1"/>
          <c:tx>
            <c:strRef>
              <c:f>'#E&amp;QA'!$B$1</c:f>
              <c:strCache>
                <c:ptCount val="1"/>
                <c:pt idx="0">
                  <c:v># of papers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'#E&amp;QA'!$B$2:$B$10</c:f>
              <c:numCache>
                <c:formatCode>General</c:formatCode>
                <c:ptCount val="9"/>
                <c:pt idx="0">
                  <c:v>0</c:v>
                </c:pt>
                <c:pt idx="1">
                  <c:v>0</c:v>
                </c:pt>
                <c:pt idx="2">
                  <c:v>3</c:v>
                </c:pt>
                <c:pt idx="3">
                  <c:v>0</c:v>
                </c:pt>
                <c:pt idx="4">
                  <c:v>79</c:v>
                </c:pt>
                <c:pt idx="5">
                  <c:v>11</c:v>
                </c:pt>
                <c:pt idx="6">
                  <c:v>5</c:v>
                </c:pt>
                <c:pt idx="7">
                  <c:v>3</c:v>
                </c:pt>
                <c:pt idx="8">
                  <c:v>5</c:v>
                </c:pt>
              </c:numCache>
            </c:numRef>
          </c:val>
          <c:extLst>
            <c:ext xmlns:c16="http://schemas.microsoft.com/office/drawing/2014/chart" uri="{C3380CC4-5D6E-409C-BE32-E72D297353CC}">
              <c16:uniqueId val="{00000001-AFCE-496B-BDA0-4006A2AE484B}"/>
            </c:ext>
          </c:extLst>
        </c:ser>
        <c:dLbls>
          <c:dLblPos val="outEnd"/>
          <c:showLegendKey val="0"/>
          <c:showVal val="1"/>
          <c:showCatName val="0"/>
          <c:showSerName val="0"/>
          <c:showPercent val="0"/>
          <c:showBubbleSize val="0"/>
        </c:dLbls>
        <c:gapWidth val="267"/>
        <c:overlap val="-43"/>
        <c:axId val="894183792"/>
        <c:axId val="894184272"/>
      </c:barChart>
      <c:catAx>
        <c:axId val="894183792"/>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94184272"/>
        <c:crosses val="autoZero"/>
        <c:auto val="1"/>
        <c:lblAlgn val="ctr"/>
        <c:lblOffset val="100"/>
        <c:noMultiLvlLbl val="0"/>
      </c:catAx>
      <c:valAx>
        <c:axId val="8941842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94183792"/>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670889162180527"/>
          <c:y val="8.3815736735016674E-2"/>
          <c:w val="0.56511236046166891"/>
          <c:h val="0.87908063388685709"/>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F22-4267-870E-E044A29B692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7F22-4267-870E-E044A29B692A}"/>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7F22-4267-870E-E044A29B692A}"/>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F22-4267-870E-E044A29B692A}"/>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7F22-4267-870E-E044A29B692A}"/>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F22-4267-870E-E044A29B692A}"/>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7F22-4267-870E-E044A29B692A}"/>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7F22-4267-870E-E044A29B692A}"/>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F22-4267-870E-E044A29B692A}"/>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7F22-4267-870E-E044A29B692A}"/>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7F22-4267-870E-E044A29B692A}"/>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7F22-4267-870E-E044A29B692A}"/>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7F22-4267-870E-E044A29B692A}"/>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7F22-4267-870E-E044A29B692A}"/>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7F22-4267-870E-E044A29B692A}"/>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7F22-4267-870E-E044A29B692A}"/>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7F22-4267-870E-E044A29B692A}"/>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7F22-4267-870E-E044A29B692A}"/>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7F22-4267-870E-E044A29B692A}"/>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7F22-4267-870E-E044A29B692A}"/>
              </c:ext>
            </c:extLst>
          </c:dPt>
          <c:dPt>
            <c:idx val="20"/>
            <c:bubble3D val="0"/>
            <c:spPr>
              <a:solidFill>
                <a:schemeClr val="accent3">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7F22-4267-870E-E044A29B692A}"/>
              </c:ext>
            </c:extLst>
          </c:dPt>
          <c:dPt>
            <c:idx val="21"/>
            <c:bubble3D val="0"/>
            <c:spPr>
              <a:solidFill>
                <a:schemeClr val="accent4">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7F22-4267-870E-E044A29B692A}"/>
              </c:ext>
            </c:extLst>
          </c:dPt>
          <c:dPt>
            <c:idx val="22"/>
            <c:bubble3D val="0"/>
            <c:spPr>
              <a:solidFill>
                <a:schemeClr val="accent5">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7F22-4267-870E-E044A29B692A}"/>
              </c:ext>
            </c:extLst>
          </c:dPt>
          <c:dPt>
            <c:idx val="23"/>
            <c:bubble3D val="0"/>
            <c:spPr>
              <a:solidFill>
                <a:schemeClr val="accent6">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7F22-4267-870E-E044A29B692A}"/>
              </c:ext>
            </c:extLst>
          </c:dPt>
          <c:dPt>
            <c:idx val="24"/>
            <c:bubble3D val="0"/>
            <c:spPr>
              <a:solidFill>
                <a:schemeClr val="accent1">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F22-4267-870E-E044A29B692A}"/>
              </c:ext>
            </c:extLst>
          </c:dPt>
          <c:dLbls>
            <c:dLbl>
              <c:idx val="0"/>
              <c:layout>
                <c:manualLayout>
                  <c:x val="2.2934023807190076E-2"/>
                  <c:y val="2.41414604727807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22-4267-870E-E044A29B692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7F22-4267-870E-E044A29B692A}"/>
                </c:ext>
              </c:extLst>
            </c:dLbl>
            <c:dLbl>
              <c:idx val="2"/>
              <c:layout>
                <c:manualLayout>
                  <c:x val="-4.5378145159240984E-8"/>
                  <c:y val="-3.907066228371873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121504578074733"/>
                      <c:h val="5.1387326584176975E-2"/>
                    </c:manualLayout>
                  </c15:layout>
                </c:ext>
                <c:ext xmlns:c16="http://schemas.microsoft.com/office/drawing/2014/chart" uri="{C3380CC4-5D6E-409C-BE32-E72D297353CC}">
                  <c16:uniqueId val="{00000004-7F22-4267-870E-E044A29B692A}"/>
                </c:ext>
              </c:extLst>
            </c:dLbl>
            <c:dLbl>
              <c:idx val="3"/>
              <c:layout>
                <c:manualLayout>
                  <c:x val="-3.4578146611341631E-3"/>
                  <c:y val="-2.157497303128384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F22-4267-870E-E044A29B692A}"/>
                </c:ext>
              </c:extLst>
            </c:dLbl>
            <c:dLbl>
              <c:idx val="4"/>
              <c:layout>
                <c:manualLayout>
                  <c:x val="-6.915629322268242E-3"/>
                  <c:y val="-2.15749730312837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F22-4267-870E-E044A29B692A}"/>
                </c:ext>
              </c:extLst>
            </c:dLbl>
            <c:dLbl>
              <c:idx val="5"/>
              <c:layout>
                <c:manualLayout>
                  <c:x val="-4.6104195481789685E-3"/>
                  <c:y val="-2.6968716289104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F22-4267-870E-E044A29B692A}"/>
                </c:ext>
              </c:extLst>
            </c:dLbl>
            <c:dLbl>
              <c:idx val="6"/>
              <c:layout>
                <c:manualLayout>
                  <c:x val="6.1088059013370215E-2"/>
                  <c:y val="-1.3184553432253715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F22-4267-870E-E044A29B692A}"/>
                </c:ext>
              </c:extLst>
            </c:dLbl>
            <c:dLbl>
              <c:idx val="7"/>
              <c:layout>
                <c:manualLayout>
                  <c:x val="1.2678653757491932E-2"/>
                  <c:y val="-1.3184553432253715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7F22-4267-870E-E044A29B692A}"/>
                </c:ext>
              </c:extLst>
            </c:dLbl>
            <c:dLbl>
              <c:idx val="8"/>
              <c:layout>
                <c:manualLayout>
                  <c:x val="-4.2646335442509523E-2"/>
                  <c:y val="-1.3184553432253715E-1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282157676348546"/>
                      <c:h val="4.9280834232290543E-2"/>
                    </c:manualLayout>
                  </c15:layout>
                </c:ext>
                <c:ext xmlns:c16="http://schemas.microsoft.com/office/drawing/2014/chart" uri="{C3380CC4-5D6E-409C-BE32-E72D297353CC}">
                  <c16:uniqueId val="{00000009-7F22-4267-870E-E044A29B692A}"/>
                </c:ext>
              </c:extLst>
            </c:dLbl>
            <c:dLbl>
              <c:idx val="9"/>
              <c:layout>
                <c:manualLayout>
                  <c:x val="-0.19017980636237899"/>
                  <c:y val="-1.3184553432253715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7F22-4267-870E-E044A29B692A}"/>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7F22-4267-870E-E044A29B692A}"/>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7F22-4267-870E-E044A29B692A}"/>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7F22-4267-870E-E044A29B692A}"/>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7F22-4267-870E-E044A29B692A}"/>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7F22-4267-870E-E044A29B692A}"/>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7F22-4267-870E-E044A29B692A}"/>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7F22-4267-870E-E044A29B692A}"/>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7F22-4267-870E-E044A29B692A}"/>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7F22-4267-870E-E044A29B692A}"/>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7F22-4267-870E-E044A29B692A}"/>
                </c:ext>
              </c:extLst>
            </c:dLbl>
            <c:dLbl>
              <c:idx val="2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7F22-4267-870E-E044A29B692A}"/>
                </c:ext>
              </c:extLst>
            </c:dLbl>
            <c:dLbl>
              <c:idx val="2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7F22-4267-870E-E044A29B692A}"/>
                </c:ext>
              </c:extLst>
            </c:dLbl>
            <c:dLbl>
              <c:idx val="2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9-7F22-4267-870E-E044A29B692A}"/>
                </c:ext>
              </c:extLst>
            </c:dLbl>
            <c:dLbl>
              <c:idx val="23"/>
              <c:layout>
                <c:manualLayout>
                  <c:x val="4.7018064835436815E-2"/>
                  <c:y val="3.749531308586418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F22-4267-870E-E044A29B692A}"/>
                </c:ext>
              </c:extLst>
            </c:dLbl>
            <c:dLbl>
              <c:idx val="24"/>
              <c:layout>
                <c:manualLayout>
                  <c:x val="4.3306112348428606E-2"/>
                  <c:y val="-3.749531308586435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lumOff val="4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F22-4267-870E-E044A29B692A}"/>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Variations!$A$2:$A$26</c:f>
              <c:strCache>
                <c:ptCount val="25"/>
                <c:pt idx="0">
                  <c:v>DAS / fiber-optic sensing</c:v>
                </c:pt>
                <c:pt idx="1">
                  <c:v>CO₂ / CCS monitoring</c:v>
                </c:pt>
                <c:pt idx="2">
                  <c:v>Machine learning-based monitoring</c:v>
                </c:pt>
                <c:pt idx="3">
                  <c:v>Anomaly detection</c:v>
                </c:pt>
                <c:pt idx="4">
                  <c:v>Seismic activity monitoring</c:v>
                </c:pt>
                <c:pt idx="5">
                  <c:v>Real-time / edge-based processing</c:v>
                </c:pt>
                <c:pt idx="6">
                  <c:v>Federated learning extension</c:v>
                </c:pt>
                <c:pt idx="7">
                  <c:v>Anti-jitter signal processing</c:v>
                </c:pt>
                <c:pt idx="8">
                  <c:v>Time-frequency analysis</c:v>
                </c:pt>
                <c:pt idx="9">
                  <c:v>Φ-OTDR DAS sensing</c:v>
                </c:pt>
                <c:pt idx="10">
                  <c:v>Spectral feature extraction / DFT</c:v>
                </c:pt>
                <c:pt idx="11">
                  <c:v>Band-limited power analysis</c:v>
                </c:pt>
                <c:pt idx="12">
                  <c:v>Sliding-window segmentation</c:v>
                </c:pt>
                <c:pt idx="13">
                  <c:v>CNN-based classification</c:v>
                </c:pt>
                <c:pt idx="14">
                  <c:v>Random Forest anomaly detection</c:v>
                </c:pt>
                <c:pt idx="15">
                  <c:v>DTS-based CCS monitoring</c:v>
                </c:pt>
                <c:pt idx="16">
                  <c:v>Synthetic anomaly modeling</c:v>
                </c:pt>
                <c:pt idx="17">
                  <c:v>Bayesian optimization</c:v>
                </c:pt>
                <c:pt idx="18">
                  <c:v>Gaussian Process surrogate model</c:v>
                </c:pt>
                <c:pt idx="19">
                  <c:v>Permutation-invariant kernel</c:v>
                </c:pt>
                <c:pt idx="20">
                  <c:v>Mahalanobis-distance outlier removal</c:v>
                </c:pt>
                <c:pt idx="21">
                  <c:v>CMG-GEM simulation</c:v>
                </c:pt>
                <c:pt idx="22">
                  <c:v>Multi-sensor seismic acquisition</c:v>
                </c:pt>
                <c:pt idx="23">
                  <c:v>DAS + geophone validation</c:v>
                </c:pt>
                <c:pt idx="24">
                  <c:v>Bibliometric trend analysis</c:v>
                </c:pt>
              </c:strCache>
            </c:strRef>
          </c:cat>
          <c:val>
            <c:numRef>
              <c:f>Variations!$B$2:$B$26</c:f>
              <c:numCache>
                <c:formatCode>General</c:formatCode>
                <c:ptCount val="25"/>
                <c:pt idx="0">
                  <c:v>4</c:v>
                </c:pt>
                <c:pt idx="1">
                  <c:v>4</c:v>
                </c:pt>
                <c:pt idx="2">
                  <c:v>3</c:v>
                </c:pt>
                <c:pt idx="3">
                  <c:v>2</c:v>
                </c:pt>
                <c:pt idx="4">
                  <c:v>2</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numCache>
            </c:numRef>
          </c:val>
          <c:extLst>
            <c:ext xmlns:c16="http://schemas.microsoft.com/office/drawing/2014/chart" uri="{C3380CC4-5D6E-409C-BE32-E72D297353CC}">
              <c16:uniqueId val="{00000000-7F22-4267-870E-E044A29B692A}"/>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A53-45A8-B11D-2213856E6D6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2A53-45A8-B11D-2213856E6D6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A53-45A8-B11D-2213856E6D6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2A53-45A8-B11D-2213856E6D6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A53-45A8-B11D-2213856E6D6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2A53-45A8-B11D-2213856E6D6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A53-45A8-B11D-2213856E6D6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2A53-45A8-B11D-2213856E6D60}"/>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A53-45A8-B11D-2213856E6D60}"/>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2A53-45A8-B11D-2213856E6D60}"/>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A53-45A8-B11D-2213856E6D60}"/>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2A53-45A8-B11D-2213856E6D60}"/>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A53-45A8-B11D-2213856E6D60}"/>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A53-45A8-B11D-2213856E6D60}"/>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2A53-45A8-B11D-2213856E6D60}"/>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A53-45A8-B11D-2213856E6D60}"/>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2A53-45A8-B11D-2213856E6D60}"/>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2A53-45A8-B11D-2213856E6D60}"/>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2A53-45A8-B11D-2213856E6D60}"/>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2A53-45A8-B11D-2213856E6D60}"/>
              </c:ext>
            </c:extLst>
          </c:dPt>
          <c:dPt>
            <c:idx val="20"/>
            <c:bubble3D val="0"/>
            <c:spPr>
              <a:solidFill>
                <a:schemeClr val="accent3">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2A53-45A8-B11D-2213856E6D60}"/>
              </c:ext>
            </c:extLst>
          </c:dPt>
          <c:dPt>
            <c:idx val="21"/>
            <c:bubble3D val="0"/>
            <c:spPr>
              <a:solidFill>
                <a:schemeClr val="accent4">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2A53-45A8-B11D-2213856E6D60}"/>
              </c:ext>
            </c:extLst>
          </c:dPt>
          <c:dPt>
            <c:idx val="22"/>
            <c:bubble3D val="0"/>
            <c:spPr>
              <a:solidFill>
                <a:schemeClr val="accent5">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A53-45A8-B11D-2213856E6D6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2A53-45A8-B11D-2213856E6D6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2A53-45A8-B11D-2213856E6D6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2A53-45A8-B11D-2213856E6D6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2A53-45A8-B11D-2213856E6D6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2A53-45A8-B11D-2213856E6D6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2A53-45A8-B11D-2213856E6D6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2A53-45A8-B11D-2213856E6D6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2A53-45A8-B11D-2213856E6D60}"/>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2A53-45A8-B11D-2213856E6D60}"/>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2A53-45A8-B11D-2213856E6D60}"/>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2A53-45A8-B11D-2213856E6D60}"/>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2A53-45A8-B11D-2213856E6D60}"/>
                </c:ext>
              </c:extLst>
            </c:dLbl>
            <c:dLbl>
              <c:idx val="12"/>
              <c:layout>
                <c:manualLayout>
                  <c:x val="1.2479201331114808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A53-45A8-B11D-2213856E6D60}"/>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2A53-45A8-B11D-2213856E6D60}"/>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2A53-45A8-B11D-2213856E6D60}"/>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2A53-45A8-B11D-2213856E6D60}"/>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2A53-45A8-B11D-2213856E6D60}"/>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2A53-45A8-B11D-2213856E6D60}"/>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2A53-45A8-B11D-2213856E6D60}"/>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2A53-45A8-B11D-2213856E6D60}"/>
                </c:ext>
              </c:extLst>
            </c:dLbl>
            <c:dLbl>
              <c:idx val="2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2A53-45A8-B11D-2213856E6D60}"/>
                </c:ext>
              </c:extLst>
            </c:dLbl>
            <c:dLbl>
              <c:idx val="2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2A53-45A8-B11D-2213856E6D60}"/>
                </c:ext>
              </c:extLst>
            </c:dLbl>
            <c:dLbl>
              <c:idx val="22"/>
              <c:layout>
                <c:manualLayout>
                  <c:x val="2.9118136439267937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A53-45A8-B11D-2213856E6D6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Metrics!$A$2:$A$24</c:f>
              <c:strCache>
                <c:ptCount val="23"/>
                <c:pt idx="0">
                  <c:v>Accuracy</c:v>
                </c:pt>
                <c:pt idx="1">
                  <c:v>Precision</c:v>
                </c:pt>
                <c:pt idx="2">
                  <c:v>Recall</c:v>
                </c:pt>
                <c:pt idx="3">
                  <c:v>F1-score</c:v>
                </c:pt>
                <c:pt idx="4">
                  <c:v>RMSE</c:v>
                </c:pt>
                <c:pt idx="5">
                  <c:v>CO₂ sequestration target achievement (%)</c:v>
                </c:pt>
                <c:pt idx="6">
                  <c:v>Well-placement efficiency</c:v>
                </c:pt>
                <c:pt idx="7">
                  <c:v>Pressure constraint</c:v>
                </c:pt>
                <c:pt idx="8">
                  <c:v>Breakthrough constraint</c:v>
                </c:pt>
                <c:pt idx="9">
                  <c:v>Detection reliability (%)</c:v>
                </c:pt>
                <c:pt idx="10">
                  <c:v>Error rate (%)</c:v>
                </c:pt>
                <c:pt idx="11">
                  <c:v>Latency (ms)</c:v>
                </c:pt>
                <c:pt idx="12">
                  <c:v>Detection range (m)</c:v>
                </c:pt>
                <c:pt idx="13">
                  <c:v>Strain sensitivity</c:v>
                </c:pt>
                <c:pt idx="14">
                  <c:v>Detection sensitivity / temperature deviation</c:v>
                </c:pt>
                <c:pt idx="15">
                  <c:v>Anomaly detection capability</c:v>
                </c:pt>
                <c:pt idx="16">
                  <c:v>Imaging quality</c:v>
                </c:pt>
                <c:pt idx="17">
                  <c:v>Depth/time resolution (ms)</c:v>
                </c:pt>
                <c:pt idx="18">
                  <c:v>Signal validation against geophones</c:v>
                </c:pt>
                <c:pt idx="19">
                  <c:v>Publication trend</c:v>
                </c:pt>
                <c:pt idx="20">
                  <c:v>Thematic distribution</c:v>
                </c:pt>
                <c:pt idx="21">
                  <c:v>Research growth</c:v>
                </c:pt>
                <c:pt idx="22">
                  <c:v>Classification performance not specified</c:v>
                </c:pt>
              </c:strCache>
            </c:strRef>
          </c:cat>
          <c:val>
            <c:numRef>
              <c:f>Metrics!$B$2:$B$24</c:f>
              <c:numCache>
                <c:formatCode>General</c:formatCode>
                <c:ptCount val="23"/>
                <c:pt idx="0">
                  <c:v>2</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val>
          <c:extLst>
            <c:ext xmlns:c16="http://schemas.microsoft.com/office/drawing/2014/chart" uri="{C3380CC4-5D6E-409C-BE32-E72D297353CC}">
              <c16:uniqueId val="{00000000-2A53-45A8-B11D-2213856E6D60}"/>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data id="1">
      <cx:strDim type="cat">
        <cx:f>_xlchart.v1.0</cx:f>
      </cx:strDim>
      <cx:numDim type="size">
        <cx:f>_xlchart.v1.2</cx:f>
      </cx:numDim>
    </cx:data>
  </cx:chartData>
  <cx:chart>
    <cx:title pos="t" align="ctr" overlay="0">
      <cx:txPr>
        <a:bodyPr spcFirstLastPara="1" vertOverflow="ellipsis" horzOverflow="overflow" wrap="square" lIns="0" tIns="0" rIns="0" bIns="0" anchor="ctr" anchorCtr="1"/>
        <a:lstStyle/>
        <a:p>
          <a:pPr algn="ctr" rtl="0">
            <a:defRPr/>
          </a:pPr>
          <a:endParaRPr lang="en-US" sz="1600" b="1" i="0" u="none" strike="noStrike" spc="0" normalizeH="0" baseline="0">
            <a:solidFill>
              <a:sysClr val="windowText" lastClr="000000">
                <a:lumMod val="50000"/>
                <a:lumOff val="50000"/>
              </a:sysClr>
            </a:solidFill>
            <a:latin typeface="Calibri"/>
            <a:ea typeface="Calibri"/>
            <a:cs typeface="Calibri"/>
          </a:endParaRPr>
        </a:p>
      </cx:txPr>
    </cx:title>
    <cx:plotArea>
      <cx:plotAreaRegion>
        <cx:series layoutId="sunburst" uniqueId="{868EED7F-C925-451A-B118-A7FEFD0FB686}" formatIdx="0">
          <cx:dataPt idx="0">
            <cx:spPr>
              <a:solidFill>
                <a:srgbClr val="4BACC6"/>
              </a:solidFill>
            </cx:spPr>
          </cx:dataPt>
          <cx:dataPt idx="18">
            <cx:spPr>
              <a:solidFill>
                <a:srgbClr val="C0504D">
                  <a:lumMod val="50000"/>
                </a:srgbClr>
              </a:solidFill>
            </cx:spPr>
          </cx:dataPt>
          <cx:dataPt idx="20">
            <cx:spPr>
              <a:solidFill>
                <a:srgbClr val="9BBB59">
                  <a:lumMod val="60000"/>
                  <a:lumOff val="40000"/>
                </a:srgbClr>
              </a:solidFill>
            </cx:spPr>
          </cx:dataPt>
          <cx:dataLabels pos="ctr">
            <cx:visibility seriesName="0" categoryName="1" value="0"/>
          </cx:dataLabels>
          <cx:dataId val="0"/>
        </cx:series>
        <cx:series layoutId="sunburst" hidden="1" uniqueId="{0C013204-767B-4836-8933-15CD38218ED3}" formatIdx="1">
          <cx:dataLabels pos="ctr">
            <cx:visibility seriesName="0" categoryName="1" value="0"/>
          </cx:dataLabels>
          <cx:dataId val="1"/>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85">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1066800</xdr:colOff>
      <xdr:row>0</xdr:row>
      <xdr:rowOff>190499</xdr:rowOff>
    </xdr:from>
    <xdr:to>
      <xdr:col>17</xdr:col>
      <xdr:colOff>552450</xdr:colOff>
      <xdr:row>28</xdr:row>
      <xdr:rowOff>76200</xdr:rowOff>
    </xdr:to>
    <xdr:sp macro="" textlink="">
      <xdr:nvSpPr>
        <xdr:cNvPr id="2" name="TextBox 1">
          <a:extLst>
            <a:ext uri="{FF2B5EF4-FFF2-40B4-BE49-F238E27FC236}">
              <a16:creationId xmlns:a16="http://schemas.microsoft.com/office/drawing/2014/main" id="{FA274A67-08A5-426C-BDA0-9FF7064B9D02}"/>
            </a:ext>
          </a:extLst>
        </xdr:cNvPr>
        <xdr:cNvSpPr txBox="1"/>
      </xdr:nvSpPr>
      <xdr:spPr>
        <a:xfrm>
          <a:off x="1630680" y="182879"/>
          <a:ext cx="9696450" cy="50139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MY" sz="1400" b="1" i="0">
              <a:solidFill>
                <a:schemeClr val="dk1"/>
              </a:solidFill>
              <a:effectLst/>
              <a:latin typeface="+mn-lt"/>
              <a:ea typeface="+mn-ea"/>
              <a:cs typeface="+mn-cs"/>
            </a:rPr>
            <a:t>This is the Excel file used to perform the systematic literature review</a:t>
          </a:r>
        </a:p>
        <a:p>
          <a:pPr marL="0" marR="0" lvl="0" indent="0" algn="ctr" defTabSz="914400" eaLnBrk="1" fontAlgn="auto" latinLnBrk="0" hangingPunct="1">
            <a:lnSpc>
              <a:spcPct val="100000"/>
            </a:lnSpc>
            <a:spcBef>
              <a:spcPts val="0"/>
            </a:spcBef>
            <a:spcAft>
              <a:spcPts val="0"/>
            </a:spcAft>
            <a:buClrTx/>
            <a:buSzTx/>
            <a:buFontTx/>
            <a:buNone/>
            <a:tabLst/>
            <a:defRPr/>
          </a:pPr>
          <a:r>
            <a:rPr lang="en-MY" sz="1600" b="1" i="0">
              <a:solidFill>
                <a:srgbClr val="0070C0"/>
              </a:solidFill>
              <a:effectLst/>
              <a:latin typeface="+mn-lt"/>
              <a:ea typeface="+mn-ea"/>
              <a:cs typeface="+mn-cs"/>
            </a:rPr>
            <a:t>"</a:t>
          </a:r>
          <a:r>
            <a:rPr lang="en-US" sz="1600">
              <a:solidFill>
                <a:srgbClr val="0070C0"/>
              </a:solidFill>
            </a:rPr>
            <a:t>Machine Learning for Real-Time Monitoring of Subsurface CO2 Storage Using DAS: A Systematic Literature Review</a:t>
          </a:r>
          <a:r>
            <a:rPr lang="en-MY" sz="1600" b="1" i="0">
              <a:solidFill>
                <a:srgbClr val="0070C0"/>
              </a:solidFill>
              <a:effectLst/>
              <a:latin typeface="+mn-lt"/>
              <a:ea typeface="+mn-ea"/>
              <a:cs typeface="+mn-cs"/>
            </a:rPr>
            <a:t>"</a:t>
          </a:r>
          <a:endParaRPr lang="en-MY" sz="1600">
            <a:solidFill>
              <a:srgbClr val="0070C0"/>
            </a:solidFill>
            <a:effectLst/>
          </a:endParaRPr>
        </a:p>
        <a:p>
          <a:endParaRPr lang="en-MY" sz="1200">
            <a:solidFill>
              <a:schemeClr val="dk1"/>
            </a:solidFill>
            <a:effectLst/>
            <a:latin typeface="+mn-lt"/>
            <a:ea typeface="+mn-ea"/>
            <a:cs typeface="+mn-cs"/>
          </a:endParaRPr>
        </a:p>
        <a:p>
          <a:pPr eaLnBrk="1" fontAlgn="auto" latinLnBrk="0" hangingPunct="1"/>
          <a:r>
            <a:rPr lang="en-MY" sz="1200" b="1">
              <a:effectLst/>
            </a:rPr>
            <a:t>Abstract:</a:t>
          </a:r>
        </a:p>
        <a:p>
          <a:r>
            <a:rPr lang="en-US" sz="1200"/>
            <a:t>The Paris Climate Agreement underscores the urgency of reducing greenhouse gas emissions, particularly carbon dioxide (CO2 ), which constitutes approximately 30% of global emissions. Carbon capture and storage (CCS) in subsurface formations emerges as a crucial technology for mitigating CO2 levels, capturing emissions from industrial and power generation sources for reuse or storage. However, modelling CO2 storage faces significant geological uncertainties and computational challenges. Despite decades of development and global pilot projects, widespread CCS adoption is hindered by the cost and efficiency of CO2 storage in geological formations. Research efforts are focused on understanding formation geology, assessing storage suitability, and enhancing storage processes to optimize efficiency. </a:t>
          </a:r>
        </a:p>
        <a:p>
          <a:r>
            <a:rPr lang="en-US" sz="1200"/>
            <a:t>sDistributed Acoustic Sensing(DAS), utilizing single optical fibers for high-resolution, continuous monitoring, offers potential applications in subsurface imaging and geological mapping. Machine learning (ML) techniques have emerged as effective alternatives to complex simulation models in the environmental and petroleum industries, enabling high-precision predictions for CCS research and optimization. The findings indicate that while significant progress has been made in both DAS technology and machine learning applications independently, their combined use for real-time CO2 storage monitoring remains relatively underdeveloped. This study provides a comprehensive synthesis of existing work and identifies critical research gaps, offering directions for the development of intelligent, scalable, and reliable monitoring systems for future CCS operations.</a:t>
          </a:r>
          <a:endParaRPr lang="en-MY" sz="1200"/>
        </a:p>
        <a:p>
          <a:endParaRPr lang="en-MY" sz="1200"/>
        </a:p>
        <a:p>
          <a:endParaRPr lang="en-MY" sz="1200"/>
        </a:p>
        <a:p>
          <a:endParaRPr lang="en-MY" sz="1200"/>
        </a:p>
        <a:p>
          <a:r>
            <a:rPr lang="en-MY" sz="1200"/>
            <a:t>GitHub link: </a:t>
          </a:r>
        </a:p>
        <a:p>
          <a:r>
            <a:rPr lang="en-MY" sz="1200">
              <a:solidFill>
                <a:srgbClr val="0000FF"/>
              </a:solidFill>
            </a:rPr>
            <a:t>https://github.com/Mariam262/machine-learning-das-co2-monitoring-slr</a:t>
          </a:r>
        </a:p>
        <a:p>
          <a:endParaRPr lang="en-MY" sz="1200"/>
        </a:p>
        <a:p>
          <a:r>
            <a:rPr lang="en-MY" sz="1200"/>
            <a:t>Mariam Farooqi</a:t>
          </a:r>
        </a:p>
        <a:p>
          <a:r>
            <a:rPr lang="en-MY" sz="1200"/>
            <a:t>Corresponding author</a:t>
          </a:r>
        </a:p>
        <a:p>
          <a:endParaRPr lang="en-MY" sz="1200"/>
        </a:p>
        <a:p>
          <a:r>
            <a:rPr lang="en-MY" sz="1200"/>
            <a:t>Thank you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304800</xdr:colOff>
      <xdr:row>0</xdr:row>
      <xdr:rowOff>236220</xdr:rowOff>
    </xdr:from>
    <xdr:to>
      <xdr:col>20</xdr:col>
      <xdr:colOff>594360</xdr:colOff>
      <xdr:row>30</xdr:row>
      <xdr:rowOff>0</xdr:rowOff>
    </xdr:to>
    <xdr:graphicFrame macro="">
      <xdr:nvGraphicFramePr>
        <xdr:cNvPr id="4" name="Chart 3">
          <a:extLst>
            <a:ext uri="{FF2B5EF4-FFF2-40B4-BE49-F238E27FC236}">
              <a16:creationId xmlns:a16="http://schemas.microsoft.com/office/drawing/2014/main" id="{3FA07215-2E4D-144B-4941-17696B15B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22860</xdr:colOff>
      <xdr:row>0</xdr:row>
      <xdr:rowOff>12822</xdr:rowOff>
    </xdr:from>
    <xdr:to>
      <xdr:col>15</xdr:col>
      <xdr:colOff>525780</xdr:colOff>
      <xdr:row>26</xdr:row>
      <xdr:rowOff>78967</xdr:rowOff>
    </xdr:to>
    <xdr:pic>
      <xdr:nvPicPr>
        <xdr:cNvPr id="2" name="Picture 1">
          <a:extLst>
            <a:ext uri="{FF2B5EF4-FFF2-40B4-BE49-F238E27FC236}">
              <a16:creationId xmlns:a16="http://schemas.microsoft.com/office/drawing/2014/main" id="{255DCAF8-4FFB-EAA0-8B29-6F45312826AB}"/>
            </a:ext>
          </a:extLst>
        </xdr:cNvPr>
        <xdr:cNvPicPr>
          <a:picLocks noChangeAspect="1"/>
        </xdr:cNvPicPr>
      </xdr:nvPicPr>
      <xdr:blipFill>
        <a:blip xmlns:r="http://schemas.openxmlformats.org/officeDocument/2006/relationships" r:embed="rId1"/>
        <a:stretch>
          <a:fillRect/>
        </a:stretch>
      </xdr:blipFill>
      <xdr:spPr>
        <a:xfrm>
          <a:off x="3451860" y="12822"/>
          <a:ext cx="7818120" cy="500390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594360</xdr:colOff>
      <xdr:row>1</xdr:row>
      <xdr:rowOff>26213</xdr:rowOff>
    </xdr:from>
    <xdr:to>
      <xdr:col>15</xdr:col>
      <xdr:colOff>489142</xdr:colOff>
      <xdr:row>25</xdr:row>
      <xdr:rowOff>16059</xdr:rowOff>
    </xdr:to>
    <xdr:pic>
      <xdr:nvPicPr>
        <xdr:cNvPr id="2" name="Picture 1">
          <a:extLst>
            <a:ext uri="{FF2B5EF4-FFF2-40B4-BE49-F238E27FC236}">
              <a16:creationId xmlns:a16="http://schemas.microsoft.com/office/drawing/2014/main" id="{DA0AF779-4B24-0CF2-C813-72B81535FF5D}"/>
            </a:ext>
          </a:extLst>
        </xdr:cNvPr>
        <xdr:cNvPicPr>
          <a:picLocks noChangeAspect="1"/>
        </xdr:cNvPicPr>
      </xdr:nvPicPr>
      <xdr:blipFill>
        <a:blip xmlns:r="http://schemas.openxmlformats.org/officeDocument/2006/relationships" r:embed="rId1"/>
        <a:stretch>
          <a:fillRect/>
        </a:stretch>
      </xdr:blipFill>
      <xdr:spPr>
        <a:xfrm>
          <a:off x="3985260" y="209093"/>
          <a:ext cx="7819582" cy="43789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0</xdr:row>
      <xdr:rowOff>358140</xdr:rowOff>
    </xdr:from>
    <xdr:to>
      <xdr:col>15</xdr:col>
      <xdr:colOff>601980</xdr:colOff>
      <xdr:row>21</xdr:row>
      <xdr:rowOff>38100</xdr:rowOff>
    </xdr:to>
    <xdr:graphicFrame macro="">
      <xdr:nvGraphicFramePr>
        <xdr:cNvPr id="4" name="Chart 3">
          <a:extLst>
            <a:ext uri="{FF2B5EF4-FFF2-40B4-BE49-F238E27FC236}">
              <a16:creationId xmlns:a16="http://schemas.microsoft.com/office/drawing/2014/main" id="{BC4F3B65-9904-257E-6EA7-9D025BFD4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160020</xdr:colOff>
      <xdr:row>2</xdr:row>
      <xdr:rowOff>83820</xdr:rowOff>
    </xdr:from>
    <xdr:to>
      <xdr:col>13</xdr:col>
      <xdr:colOff>167640</xdr:colOff>
      <xdr:row>19</xdr:row>
      <xdr:rowOff>121920</xdr:rowOff>
    </xdr:to>
    <xdr:cxnSp macro="">
      <xdr:nvCxnSpPr>
        <xdr:cNvPr id="6" name="Straight Connector 5">
          <a:extLst>
            <a:ext uri="{FF2B5EF4-FFF2-40B4-BE49-F238E27FC236}">
              <a16:creationId xmlns:a16="http://schemas.microsoft.com/office/drawing/2014/main" id="{65D53C0E-9A59-ADCC-7F1F-C0182A5B6C80}"/>
            </a:ext>
          </a:extLst>
        </xdr:cNvPr>
        <xdr:cNvCxnSpPr/>
      </xdr:nvCxnSpPr>
      <xdr:spPr>
        <a:xfrm>
          <a:off x="9806940" y="632460"/>
          <a:ext cx="7620" cy="3147060"/>
        </a:xfrm>
        <a:prstGeom prst="line">
          <a:avLst/>
        </a:prstGeom>
        <a:ln w="34925" cap="flat" cmpd="sng" algn="ctr">
          <a:solidFill>
            <a:srgbClr val="92D050"/>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569595</xdr:colOff>
      <xdr:row>0</xdr:row>
      <xdr:rowOff>181452</xdr:rowOff>
    </xdr:from>
    <xdr:to>
      <xdr:col>23</xdr:col>
      <xdr:colOff>8096</xdr:colOff>
      <xdr:row>11</xdr:row>
      <xdr:rowOff>295752</xdr:rowOff>
    </xdr:to>
    <xdr:graphicFrame macro="">
      <xdr:nvGraphicFramePr>
        <xdr:cNvPr id="2" name="Chart 1">
          <a:extLst>
            <a:ext uri="{FF2B5EF4-FFF2-40B4-BE49-F238E27FC236}">
              <a16:creationId xmlns:a16="http://schemas.microsoft.com/office/drawing/2014/main" id="{3A5DB0B1-2B03-DDF7-D044-C0BDA9C11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400050</xdr:colOff>
      <xdr:row>2</xdr:row>
      <xdr:rowOff>323850</xdr:rowOff>
    </xdr:from>
    <xdr:to>
      <xdr:col>19</xdr:col>
      <xdr:colOff>520861</xdr:colOff>
      <xdr:row>12</xdr:row>
      <xdr:rowOff>694481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190586C-F66A-3849-3C67-D5DBF1735A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12970" y="872490"/>
              <a:ext cx="9264811" cy="67714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581025</xdr:colOff>
      <xdr:row>7</xdr:row>
      <xdr:rowOff>427622</xdr:rowOff>
    </xdr:from>
    <xdr:to>
      <xdr:col>16</xdr:col>
      <xdr:colOff>502819</xdr:colOff>
      <xdr:row>10</xdr:row>
      <xdr:rowOff>66675</xdr:rowOff>
    </xdr:to>
    <xdr:sp macro="" textlink="">
      <xdr:nvSpPr>
        <xdr:cNvPr id="5" name="Rectangle 4">
          <a:extLst>
            <a:ext uri="{FF2B5EF4-FFF2-40B4-BE49-F238E27FC236}">
              <a16:creationId xmlns:a16="http://schemas.microsoft.com/office/drawing/2014/main" id="{7BCD7FD0-6BEE-7AEA-0D70-09F487BC6C19}"/>
            </a:ext>
          </a:extLst>
        </xdr:cNvPr>
        <xdr:cNvSpPr/>
      </xdr:nvSpPr>
      <xdr:spPr>
        <a:xfrm>
          <a:off x="8571999" y="3886701"/>
          <a:ext cx="3591425" cy="1473869"/>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r>
            <a:rPr lang="en-US" sz="2400" b="0" cap="none" spc="0">
              <a:ln w="0"/>
              <a:solidFill>
                <a:schemeClr val="tx1"/>
              </a:solidFill>
              <a:effectLst>
                <a:outerShdw blurRad="38100" dist="19050" dir="2700000" algn="tl" rotWithShape="0">
                  <a:schemeClr val="dk1">
                    <a:alpha val="40000"/>
                  </a:schemeClr>
                </a:outerShdw>
              </a:effectLst>
            </a:rPr>
            <a:t>Techniques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594360</xdr:colOff>
      <xdr:row>0</xdr:row>
      <xdr:rowOff>175260</xdr:rowOff>
    </xdr:from>
    <xdr:to>
      <xdr:col>19</xdr:col>
      <xdr:colOff>15240</xdr:colOff>
      <xdr:row>12</xdr:row>
      <xdr:rowOff>30480</xdr:rowOff>
    </xdr:to>
    <xdr:graphicFrame macro="">
      <xdr:nvGraphicFramePr>
        <xdr:cNvPr id="3" name="Chart 2">
          <a:extLst>
            <a:ext uri="{FF2B5EF4-FFF2-40B4-BE49-F238E27FC236}">
              <a16:creationId xmlns:a16="http://schemas.microsoft.com/office/drawing/2014/main" id="{0CAD2F93-19D6-B149-5410-851DB4EC6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3" headerRowDxfId="29" totalsRowDxfId="28">
  <autoFilter ref="A1:Z3" xr:uid="{00000000-0009-0000-0100-000001000000}"/>
  <tableColumns count="26">
    <tableColumn id="4" xr3:uid="{00000000-0010-0000-0000-000004000000}" name="Authors" dataDxfId="27"/>
    <tableColumn id="5" xr3:uid="{00000000-0010-0000-0000-000005000000}" name="Author full names" dataDxfId="26"/>
    <tableColumn id="6" xr3:uid="{00000000-0010-0000-0000-000006000000}" name="Author(s) ID" dataDxfId="25"/>
    <tableColumn id="7" xr3:uid="{00000000-0010-0000-0000-000007000000}" name="Title" dataDxfId="24"/>
    <tableColumn id="8" xr3:uid="{00000000-0010-0000-0000-000008000000}" name="Year" dataDxfId="23"/>
    <tableColumn id="9" xr3:uid="{00000000-0010-0000-0000-000009000000}" name="Source title" dataDxfId="22"/>
    <tableColumn id="10" xr3:uid="{00000000-0010-0000-0000-00000A000000}" name="Volume" dataDxfId="21"/>
    <tableColumn id="11" xr3:uid="{00000000-0010-0000-0000-00000B000000}" name="Issue" dataDxfId="20"/>
    <tableColumn id="12" xr3:uid="{00000000-0010-0000-0000-00000C000000}" name="Art. No." dataDxfId="19"/>
    <tableColumn id="13" xr3:uid="{00000000-0010-0000-0000-00000D000000}" name="Page start" dataDxfId="18"/>
    <tableColumn id="14" xr3:uid="{00000000-0010-0000-0000-00000E000000}" name="Page end" dataDxfId="17"/>
    <tableColumn id="15" xr3:uid="{00000000-0010-0000-0000-00000F000000}" name="Cited by" dataDxfId="16"/>
    <tableColumn id="16" xr3:uid="{00000000-0010-0000-0000-000010000000}" name="DOI" dataDxfId="15"/>
    <tableColumn id="17" xr3:uid="{00000000-0010-0000-0000-000011000000}" name="Link" dataDxfId="14"/>
    <tableColumn id="18" xr3:uid="{00000000-0010-0000-0000-000012000000}" name="Document Type" dataDxfId="13"/>
    <tableColumn id="19" xr3:uid="{00000000-0010-0000-0000-000013000000}" name="Publication Stage" dataDxfId="12"/>
    <tableColumn id="20" xr3:uid="{00000000-0010-0000-0000-000014000000}" name="Open Access" dataDxfId="11"/>
    <tableColumn id="21" xr3:uid="{00000000-0010-0000-0000-000015000000}" name="Source" dataDxfId="10"/>
    <tableColumn id="22" xr3:uid="{00000000-0010-0000-0000-000016000000}" name="EID" dataDxfId="9"/>
    <tableColumn id="24" xr3:uid="{00000000-0010-0000-0000-000018000000}" name="Dataset" dataDxfId="8"/>
    <tableColumn id="25" xr3:uid="{00000000-0010-0000-0000-000019000000}" name="Methodolgy" dataDxfId="7"/>
    <tableColumn id="26" xr3:uid="{00000000-0010-0000-0000-00001A000000}" name="Model" dataDxfId="6"/>
    <tableColumn id="27" xr3:uid="{00000000-0010-0000-0000-00001B000000}" name="Technique" dataDxfId="5"/>
    <tableColumn id="28" xr3:uid="{00000000-0010-0000-0000-00001C000000}" name="Results" dataDxfId="4"/>
    <tableColumn id="1" xr3:uid="{01058579-4E15-4290-924D-18DA72EFDB1E}" name="Variations" dataDxfId="3" totalsRowDxfId="2"/>
    <tableColumn id="2" xr3:uid="{AA25E94D-8EFA-4CAC-A03D-FEDAB5BA4A2B}" name="Metrics" dataDxfId="1" totalsRowDxfId="0"/>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github.com/Mariam262/machine-learning-das-co2-monitoring-sl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scopus.com/pages/publications/85192266326?origin=resultslist"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www.scopus.com/pages/publications/105031445673?origin=resultslist" TargetMode="External"/><Relationship Id="rId21" Type="http://schemas.openxmlformats.org/officeDocument/2006/relationships/hyperlink" Target="https://www.scopus.com/pages/publications/85138366245?origin=resultslist" TargetMode="External"/><Relationship Id="rId42" Type="http://schemas.openxmlformats.org/officeDocument/2006/relationships/hyperlink" Target="https://www.scopus.com/pages/publications/105004892732?origin=resultslist" TargetMode="External"/><Relationship Id="rId47" Type="http://schemas.openxmlformats.org/officeDocument/2006/relationships/hyperlink" Target="https://www.scopus.com/pages/publications/85144579733?origin=resultslist" TargetMode="External"/><Relationship Id="rId63" Type="http://schemas.openxmlformats.org/officeDocument/2006/relationships/hyperlink" Target="https://www.scopus.com/pages/publications/105014526338?origin=resultslist" TargetMode="External"/><Relationship Id="rId68" Type="http://schemas.openxmlformats.org/officeDocument/2006/relationships/hyperlink" Target="https://www.scopus.com/pages/publications/85150390698?origin=resultslist" TargetMode="External"/><Relationship Id="rId84" Type="http://schemas.openxmlformats.org/officeDocument/2006/relationships/hyperlink" Target="https://www.scopus.com/pages/publications/85117017416?origin=resultslist" TargetMode="External"/><Relationship Id="rId89" Type="http://schemas.openxmlformats.org/officeDocument/2006/relationships/hyperlink" Target="https://www.scopus.com/pages/publications/85126261490?origin=resultslist" TargetMode="External"/><Relationship Id="rId16" Type="http://schemas.openxmlformats.org/officeDocument/2006/relationships/hyperlink" Target="https://www.scopus.com/pages/publications/105016102132?origin=resultslist" TargetMode="External"/><Relationship Id="rId11" Type="http://schemas.openxmlformats.org/officeDocument/2006/relationships/hyperlink" Target="https://www.scopus.com/pages/publications/85107561028?origin=resultslist" TargetMode="External"/><Relationship Id="rId32" Type="http://schemas.openxmlformats.org/officeDocument/2006/relationships/hyperlink" Target="https://www.scopus.com/pages/publications/105023831658?origin=resultslist" TargetMode="External"/><Relationship Id="rId37" Type="http://schemas.openxmlformats.org/officeDocument/2006/relationships/hyperlink" Target="https://www.scopus.com/pages/publications/85200999760?origin=resultslist" TargetMode="External"/><Relationship Id="rId53" Type="http://schemas.openxmlformats.org/officeDocument/2006/relationships/hyperlink" Target="https://www.scopus.com/pages/publications/85216531672?origin=resultslist" TargetMode="External"/><Relationship Id="rId58" Type="http://schemas.openxmlformats.org/officeDocument/2006/relationships/hyperlink" Target="https://www.scopus.com/pages/publications/105017134173?origin=resultslist" TargetMode="External"/><Relationship Id="rId74" Type="http://schemas.openxmlformats.org/officeDocument/2006/relationships/hyperlink" Target="https://www.scopus.com/pages/publications/85114726521?origin=resultslist" TargetMode="External"/><Relationship Id="rId79" Type="http://schemas.openxmlformats.org/officeDocument/2006/relationships/hyperlink" Target="https://www.scopus.com/pages/publications/105031521132?origin=resultslist" TargetMode="External"/><Relationship Id="rId5" Type="http://schemas.openxmlformats.org/officeDocument/2006/relationships/hyperlink" Target="https://www.scopus.com/pages/publications/105023488233?origin=resultslist" TargetMode="External"/><Relationship Id="rId90" Type="http://schemas.openxmlformats.org/officeDocument/2006/relationships/hyperlink" Target="https://www.scopus.com/pages/publications/85197557591?origin=resultslist" TargetMode="External"/><Relationship Id="rId95" Type="http://schemas.openxmlformats.org/officeDocument/2006/relationships/hyperlink" Target="https://www.scopus.com/pages/publications/85217266481?origin=resultslist" TargetMode="External"/><Relationship Id="rId22" Type="http://schemas.openxmlformats.org/officeDocument/2006/relationships/hyperlink" Target="https://www.scopus.com/pages/publications/105007911782?origin=resultslist" TargetMode="External"/><Relationship Id="rId27" Type="http://schemas.openxmlformats.org/officeDocument/2006/relationships/hyperlink" Target="https://www.scopus.com/pages/publications/85182099166?origin=resultslist" TargetMode="External"/><Relationship Id="rId43" Type="http://schemas.openxmlformats.org/officeDocument/2006/relationships/hyperlink" Target="https://www.scopus.com/pages/publications/85203879446?origin=resultslist" TargetMode="External"/><Relationship Id="rId48" Type="http://schemas.openxmlformats.org/officeDocument/2006/relationships/hyperlink" Target="https://www.scopus.com/pages/publications/85194384794?origin=resultslist" TargetMode="External"/><Relationship Id="rId64" Type="http://schemas.openxmlformats.org/officeDocument/2006/relationships/hyperlink" Target="https://www.scopus.com/pages/publications/105001497399?origin=resultslist" TargetMode="External"/><Relationship Id="rId69" Type="http://schemas.openxmlformats.org/officeDocument/2006/relationships/hyperlink" Target="https://www.scopus.com/pages/publications/85099720137?origin=resultslist" TargetMode="External"/><Relationship Id="rId80" Type="http://schemas.openxmlformats.org/officeDocument/2006/relationships/hyperlink" Target="https://www.scopus.com/pages/publications/85114001917?origin=resultslist" TargetMode="External"/><Relationship Id="rId85" Type="http://schemas.openxmlformats.org/officeDocument/2006/relationships/hyperlink" Target="https://www.scopus.com/pages/publications/105033440323?origin=resultslist" TargetMode="External"/><Relationship Id="rId3" Type="http://schemas.openxmlformats.org/officeDocument/2006/relationships/hyperlink" Target="https://www.scopus.com/pages/publications/105032365127?origin=resultslist" TargetMode="External"/><Relationship Id="rId12" Type="http://schemas.openxmlformats.org/officeDocument/2006/relationships/hyperlink" Target="https://www.scopus.com/pages/publications/85178337042?origin=resultslist" TargetMode="External"/><Relationship Id="rId17" Type="http://schemas.openxmlformats.org/officeDocument/2006/relationships/hyperlink" Target="https://www.scopus.com/pages/publications/85151185418?origin=resultslist" TargetMode="External"/><Relationship Id="rId25" Type="http://schemas.openxmlformats.org/officeDocument/2006/relationships/hyperlink" Target="https://www.scopus.com/pages/publications/85145436327?origin=resultslist" TargetMode="External"/><Relationship Id="rId33" Type="http://schemas.openxmlformats.org/officeDocument/2006/relationships/hyperlink" Target="https://www.scopus.com/pages/publications/85150169868?origin=resultslist" TargetMode="External"/><Relationship Id="rId38" Type="http://schemas.openxmlformats.org/officeDocument/2006/relationships/hyperlink" Target="https://www.scopus.com/pages/publications/85115165729?origin=resultslist" TargetMode="External"/><Relationship Id="rId46" Type="http://schemas.openxmlformats.org/officeDocument/2006/relationships/hyperlink" Target="https://www.scopus.com/pages/publications/85170645640?origin=resultslist" TargetMode="External"/><Relationship Id="rId59" Type="http://schemas.openxmlformats.org/officeDocument/2006/relationships/hyperlink" Target="https://www.scopus.com/pages/publications/105014909475?origin=resultslist" TargetMode="External"/><Relationship Id="rId67" Type="http://schemas.openxmlformats.org/officeDocument/2006/relationships/hyperlink" Target="https://www.scopus.com/pages/publications/105025369889?origin=resultslist" TargetMode="External"/><Relationship Id="rId20" Type="http://schemas.openxmlformats.org/officeDocument/2006/relationships/hyperlink" Target="https://www.scopus.com/pages/publications/105031416850?origin=resultslist" TargetMode="External"/><Relationship Id="rId41" Type="http://schemas.openxmlformats.org/officeDocument/2006/relationships/hyperlink" Target="https://www.scopus.com/pages/publications/85205105753?origin=resultslist" TargetMode="External"/><Relationship Id="rId54" Type="http://schemas.openxmlformats.org/officeDocument/2006/relationships/hyperlink" Target="https://www.scopus.com/pages/publications/85176294776?origin=resultslist" TargetMode="External"/><Relationship Id="rId62" Type="http://schemas.openxmlformats.org/officeDocument/2006/relationships/hyperlink" Target="https://www.scopus.com/pages/publications/85145650071?origin=resultslist" TargetMode="External"/><Relationship Id="rId70" Type="http://schemas.openxmlformats.org/officeDocument/2006/relationships/hyperlink" Target="https://www.scopus.com/pages/publications/85183252600?origin=resultslist" TargetMode="External"/><Relationship Id="rId75" Type="http://schemas.openxmlformats.org/officeDocument/2006/relationships/hyperlink" Target="https://www.scopus.com/pages/publications/85211983826?origin=resultslist" TargetMode="External"/><Relationship Id="rId83" Type="http://schemas.openxmlformats.org/officeDocument/2006/relationships/hyperlink" Target="https://www.scopus.com/pages/publications/85151010654?origin=resultslist" TargetMode="External"/><Relationship Id="rId88" Type="http://schemas.openxmlformats.org/officeDocument/2006/relationships/hyperlink" Target="https://www.scopus.com/pages/publications/105000211244?origin=resultslist" TargetMode="External"/><Relationship Id="rId91" Type="http://schemas.openxmlformats.org/officeDocument/2006/relationships/hyperlink" Target="https://www.scopus.com/pages/publications/85216100340?origin=resultslist" TargetMode="External"/><Relationship Id="rId96" Type="http://schemas.openxmlformats.org/officeDocument/2006/relationships/hyperlink" Target="https://www.scopus.com/pages/publications/85217162956?origin=resultslist" TargetMode="External"/><Relationship Id="rId1" Type="http://schemas.openxmlformats.org/officeDocument/2006/relationships/hyperlink" Target="https://www.scopus.com/pages/publications/105010312353?origin=resultslist" TargetMode="External"/><Relationship Id="rId6" Type="http://schemas.openxmlformats.org/officeDocument/2006/relationships/hyperlink" Target="https://www.scopus.com/pages/publications/105005438057?origin=resultslist" TargetMode="External"/><Relationship Id="rId15" Type="http://schemas.openxmlformats.org/officeDocument/2006/relationships/hyperlink" Target="https://www.scopus.com/pages/publications/105020262098?origin=resultslist" TargetMode="External"/><Relationship Id="rId23" Type="http://schemas.openxmlformats.org/officeDocument/2006/relationships/hyperlink" Target="https://www.scopus.com/pages/publications/85121706600?origin=resultslist" TargetMode="External"/><Relationship Id="rId28" Type="http://schemas.openxmlformats.org/officeDocument/2006/relationships/hyperlink" Target="https://www.scopus.com/pages/publications/85120468479?origin=resultslist" TargetMode="External"/><Relationship Id="rId36" Type="http://schemas.openxmlformats.org/officeDocument/2006/relationships/hyperlink" Target="https://www.scopus.com/pages/publications/105034084877?origin=resultslist" TargetMode="External"/><Relationship Id="rId49" Type="http://schemas.openxmlformats.org/officeDocument/2006/relationships/hyperlink" Target="https://www.scopus.com/pages/publications/85217176819?origin=resultslist" TargetMode="External"/><Relationship Id="rId57" Type="http://schemas.openxmlformats.org/officeDocument/2006/relationships/hyperlink" Target="https://www.scopus.com/pages/publications/105029538501?origin=resultslist" TargetMode="External"/><Relationship Id="rId10" Type="http://schemas.openxmlformats.org/officeDocument/2006/relationships/hyperlink" Target="https://www.scopus.com/pages/publications/85137571140?origin=resultslist" TargetMode="External"/><Relationship Id="rId31" Type="http://schemas.openxmlformats.org/officeDocument/2006/relationships/hyperlink" Target="https://www.scopus.com/pages/publications/85101309175?origin=resultslist" TargetMode="External"/><Relationship Id="rId44" Type="http://schemas.openxmlformats.org/officeDocument/2006/relationships/hyperlink" Target="https://www.scopus.com/pages/publications/105012034892?origin=resultslist" TargetMode="External"/><Relationship Id="rId52" Type="http://schemas.openxmlformats.org/officeDocument/2006/relationships/hyperlink" Target="https://www.scopus.com/pages/publications/85153764637?origin=resultslist" TargetMode="External"/><Relationship Id="rId60" Type="http://schemas.openxmlformats.org/officeDocument/2006/relationships/hyperlink" Target="https://www.scopus.com/pages/publications/85208597852?origin=resultslist" TargetMode="External"/><Relationship Id="rId65" Type="http://schemas.openxmlformats.org/officeDocument/2006/relationships/hyperlink" Target="https://www.scopus.com/pages/publications/85196420344?origin=resultslist" TargetMode="External"/><Relationship Id="rId73" Type="http://schemas.openxmlformats.org/officeDocument/2006/relationships/hyperlink" Target="https://www.scopus.com/pages/publications/85138192278?origin=resultslist" TargetMode="External"/><Relationship Id="rId78" Type="http://schemas.openxmlformats.org/officeDocument/2006/relationships/hyperlink" Target="https://www.scopus.com/pages/publications/85152590246?origin=resultslist" TargetMode="External"/><Relationship Id="rId81" Type="http://schemas.openxmlformats.org/officeDocument/2006/relationships/hyperlink" Target="https://www.scopus.com/pages/publications/105032560291?origin=resultslist" TargetMode="External"/><Relationship Id="rId86" Type="http://schemas.openxmlformats.org/officeDocument/2006/relationships/hyperlink" Target="https://www.scopus.com/pages/publications/85200494249?origin=resultslist" TargetMode="External"/><Relationship Id="rId94" Type="http://schemas.openxmlformats.org/officeDocument/2006/relationships/hyperlink" Target="https://www.scopus.com/pages/publications/85189757196?origin=resultslist" TargetMode="External"/><Relationship Id="rId99" Type="http://schemas.openxmlformats.org/officeDocument/2006/relationships/hyperlink" Target="https://www.scopus.com/pages/publications/85138207536?origin=resultslist" TargetMode="External"/><Relationship Id="rId4" Type="http://schemas.openxmlformats.org/officeDocument/2006/relationships/hyperlink" Target="https://www.scopus.com/pages/publications/105032193890?origin=resultslist" TargetMode="External"/><Relationship Id="rId9" Type="http://schemas.openxmlformats.org/officeDocument/2006/relationships/hyperlink" Target="https://www.scopus.com/pages/publications/85133187614?origin=resultslist" TargetMode="External"/><Relationship Id="rId13" Type="http://schemas.openxmlformats.org/officeDocument/2006/relationships/hyperlink" Target="https://www.scopus.com/pages/publications/85183344629?origin=resultslist" TargetMode="External"/><Relationship Id="rId18" Type="http://schemas.openxmlformats.org/officeDocument/2006/relationships/hyperlink" Target="https://www.scopus.com/pages/publications/85208437534?origin=resultslist" TargetMode="External"/><Relationship Id="rId39" Type="http://schemas.openxmlformats.org/officeDocument/2006/relationships/hyperlink" Target="https://www.scopus.com/pages/publications/85131217399?origin=resultslist" TargetMode="External"/><Relationship Id="rId34" Type="http://schemas.openxmlformats.org/officeDocument/2006/relationships/hyperlink" Target="https://www.scopus.com/pages/publications/105017166568?origin=resultslist" TargetMode="External"/><Relationship Id="rId50" Type="http://schemas.openxmlformats.org/officeDocument/2006/relationships/hyperlink" Target="https://www.scopus.com/pages/publications/105002130148?origin=resultslist" TargetMode="External"/><Relationship Id="rId55" Type="http://schemas.openxmlformats.org/officeDocument/2006/relationships/hyperlink" Target="https://www.scopus.com/pages/publications/105007640422?origin=resultslist" TargetMode="External"/><Relationship Id="rId76" Type="http://schemas.openxmlformats.org/officeDocument/2006/relationships/hyperlink" Target="https://www.scopus.com/pages/publications/85143338276?origin=resultslist" TargetMode="External"/><Relationship Id="rId97" Type="http://schemas.openxmlformats.org/officeDocument/2006/relationships/hyperlink" Target="https://www.scopus.com/pages/publications/85135129047?origin=resultslist" TargetMode="External"/><Relationship Id="rId7" Type="http://schemas.openxmlformats.org/officeDocument/2006/relationships/hyperlink" Target="https://www.scopus.com/pages/publications/105010300167?origin=resultslist" TargetMode="External"/><Relationship Id="rId71" Type="http://schemas.openxmlformats.org/officeDocument/2006/relationships/hyperlink" Target="https://www.scopus.com/pages/publications/85139151818?origin=resultslist" TargetMode="External"/><Relationship Id="rId92" Type="http://schemas.openxmlformats.org/officeDocument/2006/relationships/hyperlink" Target="https://www.scopus.com/pages/publications/85186531970?origin=resultslist" TargetMode="External"/><Relationship Id="rId2" Type="http://schemas.openxmlformats.org/officeDocument/2006/relationships/hyperlink" Target="https://www.scopus.com/pages/publications/105030096663?origin=resultslist" TargetMode="External"/><Relationship Id="rId29" Type="http://schemas.openxmlformats.org/officeDocument/2006/relationships/hyperlink" Target="https://www.scopus.com/pages/publications/85153771347?origin=resultslist" TargetMode="External"/><Relationship Id="rId24" Type="http://schemas.openxmlformats.org/officeDocument/2006/relationships/hyperlink" Target="https://www.scopus.com/pages/publications/85190145480?origin=resultslist" TargetMode="External"/><Relationship Id="rId40" Type="http://schemas.openxmlformats.org/officeDocument/2006/relationships/hyperlink" Target="https://www.scopus.com/pages/publications/105007611149?origin=resultslist" TargetMode="External"/><Relationship Id="rId45" Type="http://schemas.openxmlformats.org/officeDocument/2006/relationships/hyperlink" Target="https://www.scopus.com/pages/publications/105000128951?origin=resultslist" TargetMode="External"/><Relationship Id="rId66" Type="http://schemas.openxmlformats.org/officeDocument/2006/relationships/hyperlink" Target="https://www.scopus.com/pages/publications/85202445599?origin=resultslist" TargetMode="External"/><Relationship Id="rId87" Type="http://schemas.openxmlformats.org/officeDocument/2006/relationships/hyperlink" Target="https://www.scopus.com/pages/publications/85099566725?origin=resultslist" TargetMode="External"/><Relationship Id="rId61" Type="http://schemas.openxmlformats.org/officeDocument/2006/relationships/hyperlink" Target="https://www.scopus.com/pages/publications/85192266326?origin=resultslist" TargetMode="External"/><Relationship Id="rId82" Type="http://schemas.openxmlformats.org/officeDocument/2006/relationships/hyperlink" Target="https://www.scopus.com/pages/publications/85150988643?origin=resultslist" TargetMode="External"/><Relationship Id="rId19" Type="http://schemas.openxmlformats.org/officeDocument/2006/relationships/hyperlink" Target="https://www.scopus.com/pages/publications/85149881514?origin=resultslist" TargetMode="External"/><Relationship Id="rId14" Type="http://schemas.openxmlformats.org/officeDocument/2006/relationships/hyperlink" Target="https://www.scopus.com/pages/publications/105035385368?origin=resultslist" TargetMode="External"/><Relationship Id="rId30" Type="http://schemas.openxmlformats.org/officeDocument/2006/relationships/hyperlink" Target="https://www.scopus.com/pages/publications/85118875106?origin=resultslist" TargetMode="External"/><Relationship Id="rId35" Type="http://schemas.openxmlformats.org/officeDocument/2006/relationships/hyperlink" Target="https://www.scopus.com/pages/publications/85218457498?origin=resultslist" TargetMode="External"/><Relationship Id="rId56" Type="http://schemas.openxmlformats.org/officeDocument/2006/relationships/hyperlink" Target="https://www.scopus.com/pages/publications/85179781001?origin=resultslist" TargetMode="External"/><Relationship Id="rId77" Type="http://schemas.openxmlformats.org/officeDocument/2006/relationships/hyperlink" Target="https://www.scopus.com/pages/publications/105012273175?origin=resultslist" TargetMode="External"/><Relationship Id="rId8" Type="http://schemas.openxmlformats.org/officeDocument/2006/relationships/hyperlink" Target="https://www.scopus.com/pages/publications/105013164549?origin=resultslist" TargetMode="External"/><Relationship Id="rId51" Type="http://schemas.openxmlformats.org/officeDocument/2006/relationships/hyperlink" Target="https://www.scopus.com/pages/publications/85140862900?origin=resultslist" TargetMode="External"/><Relationship Id="rId72" Type="http://schemas.openxmlformats.org/officeDocument/2006/relationships/hyperlink" Target="https://www.scopus.com/pages/publications/85200498395?origin=resultslist" TargetMode="External"/><Relationship Id="rId93" Type="http://schemas.openxmlformats.org/officeDocument/2006/relationships/hyperlink" Target="https://www.scopus.com/pages/publications/105023567159?origin=resultslist" TargetMode="External"/><Relationship Id="rId98" Type="http://schemas.openxmlformats.org/officeDocument/2006/relationships/hyperlink" Target="https://www.scopus.com/pages/publications/85206495047?origin=resultslist"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www.scopus.com/pages/publications/85138366245?origin=resultslist" TargetMode="External"/><Relationship Id="rId21" Type="http://schemas.openxmlformats.org/officeDocument/2006/relationships/hyperlink" Target="https://www.scopus.com/pages/publications/105016102132?origin=resultslist" TargetMode="External"/><Relationship Id="rId42" Type="http://schemas.openxmlformats.org/officeDocument/2006/relationships/hyperlink" Target="https://www.scopus.com/pages/publications/105017166568?origin=resultslist" TargetMode="External"/><Relationship Id="rId47" Type="http://schemas.openxmlformats.org/officeDocument/2006/relationships/hyperlink" Target="https://www.scopus.com/pages/publications/85131217399?origin=resultslist" TargetMode="External"/><Relationship Id="rId63" Type="http://schemas.openxmlformats.org/officeDocument/2006/relationships/hyperlink" Target="https://www.scopus.com/pages/publications/105007640422?origin=resultslist" TargetMode="External"/><Relationship Id="rId68" Type="http://schemas.openxmlformats.org/officeDocument/2006/relationships/hyperlink" Target="https://www.scopus.com/pages/publications/85208597852?origin=resultslist" TargetMode="External"/><Relationship Id="rId84" Type="http://schemas.openxmlformats.org/officeDocument/2006/relationships/hyperlink" Target="https://www.scopus.com/pages/publications/85143338276?origin=resultslist" TargetMode="External"/><Relationship Id="rId89" Type="http://schemas.openxmlformats.org/officeDocument/2006/relationships/hyperlink" Target="https://www.scopus.com/pages/publications/105032560291?origin=resultslist" TargetMode="External"/><Relationship Id="rId16" Type="http://schemas.openxmlformats.org/officeDocument/2006/relationships/hyperlink" Target="https://www.scopus.com/pages/publications/85107561028?origin=resultslist" TargetMode="External"/><Relationship Id="rId107" Type="http://schemas.openxmlformats.org/officeDocument/2006/relationships/hyperlink" Target="https://www.scopus.com/pages/publications/85138207536?origin=resultslist" TargetMode="External"/><Relationship Id="rId11" Type="http://schemas.openxmlformats.org/officeDocument/2006/relationships/hyperlink" Target="https://www.scopus.com/pages/publications/85112072066?origin=resultslist" TargetMode="External"/><Relationship Id="rId32" Type="http://schemas.openxmlformats.org/officeDocument/2006/relationships/hyperlink" Target="https://www.scopus.com/pages/publications/85182099166?origin=resultslist" TargetMode="External"/><Relationship Id="rId37" Type="http://schemas.openxmlformats.org/officeDocument/2006/relationships/hyperlink" Target="https://www.scopus.com/pages/publications/85101309175?origin=resultslist" TargetMode="External"/><Relationship Id="rId53" Type="http://schemas.openxmlformats.org/officeDocument/2006/relationships/hyperlink" Target="https://www.scopus.com/pages/publications/105000128951?origin=resultslist" TargetMode="External"/><Relationship Id="rId58" Type="http://schemas.openxmlformats.org/officeDocument/2006/relationships/hyperlink" Target="https://www.scopus.com/pages/publications/105002130148?origin=resultslist" TargetMode="External"/><Relationship Id="rId74" Type="http://schemas.openxmlformats.org/officeDocument/2006/relationships/hyperlink" Target="https://www.scopus.com/pages/publications/85202445599?origin=resultslist" TargetMode="External"/><Relationship Id="rId79" Type="http://schemas.openxmlformats.org/officeDocument/2006/relationships/hyperlink" Target="https://www.scopus.com/pages/publications/85139151818?origin=resultslist" TargetMode="External"/><Relationship Id="rId102" Type="http://schemas.openxmlformats.org/officeDocument/2006/relationships/hyperlink" Target="https://www.scopus.com/pages/publications/85189757196?origin=resultslist" TargetMode="External"/><Relationship Id="rId5" Type="http://schemas.openxmlformats.org/officeDocument/2006/relationships/hyperlink" Target="https://www.scopus.com/pages/publications/105032193890?origin=resultslist" TargetMode="External"/><Relationship Id="rId90" Type="http://schemas.openxmlformats.org/officeDocument/2006/relationships/hyperlink" Target="https://www.scopus.com/pages/publications/85150988643?origin=resultslist" TargetMode="External"/><Relationship Id="rId95" Type="http://schemas.openxmlformats.org/officeDocument/2006/relationships/hyperlink" Target="https://www.scopus.com/pages/publications/85099566725?origin=resultslist" TargetMode="External"/><Relationship Id="rId22" Type="http://schemas.openxmlformats.org/officeDocument/2006/relationships/hyperlink" Target="https://www.scopus.com/pages/publications/85151185418?origin=resultslist" TargetMode="External"/><Relationship Id="rId27" Type="http://schemas.openxmlformats.org/officeDocument/2006/relationships/hyperlink" Target="https://www.scopus.com/pages/publications/105007911782?origin=resultslist" TargetMode="External"/><Relationship Id="rId43" Type="http://schemas.openxmlformats.org/officeDocument/2006/relationships/hyperlink" Target="https://www.scopus.com/pages/publications/85218457498?origin=resultslist" TargetMode="External"/><Relationship Id="rId48" Type="http://schemas.openxmlformats.org/officeDocument/2006/relationships/hyperlink" Target="https://www.scopus.com/pages/publications/105007611149?origin=resultslist" TargetMode="External"/><Relationship Id="rId64" Type="http://schemas.openxmlformats.org/officeDocument/2006/relationships/hyperlink" Target="https://www.scopus.com/pages/publications/85179781001?origin=resultslist" TargetMode="External"/><Relationship Id="rId69" Type="http://schemas.openxmlformats.org/officeDocument/2006/relationships/hyperlink" Target="https://www.scopus.com/pages/publications/85192266326?origin=resultslist" TargetMode="External"/><Relationship Id="rId80" Type="http://schemas.openxmlformats.org/officeDocument/2006/relationships/hyperlink" Target="https://www.scopus.com/pages/publications/85200498395?origin=resultslist" TargetMode="External"/><Relationship Id="rId85" Type="http://schemas.openxmlformats.org/officeDocument/2006/relationships/hyperlink" Target="https://www.scopus.com/pages/publications/105012273175?origin=resultslist" TargetMode="External"/><Relationship Id="rId12" Type="http://schemas.openxmlformats.org/officeDocument/2006/relationships/hyperlink" Target="https://www.scopus.com/pages/publications/105013164549?origin=resultslist" TargetMode="External"/><Relationship Id="rId17" Type="http://schemas.openxmlformats.org/officeDocument/2006/relationships/hyperlink" Target="https://www.scopus.com/pages/publications/85178337042?origin=resultslist" TargetMode="External"/><Relationship Id="rId33" Type="http://schemas.openxmlformats.org/officeDocument/2006/relationships/hyperlink" Target="https://www.scopus.com/pages/publications/85120468479?origin=resultslist" TargetMode="External"/><Relationship Id="rId38" Type="http://schemas.openxmlformats.org/officeDocument/2006/relationships/hyperlink" Target="https://www.scopus.com/pages/publications/105023831658?origin=resultslist" TargetMode="External"/><Relationship Id="rId59" Type="http://schemas.openxmlformats.org/officeDocument/2006/relationships/hyperlink" Target="https://www.scopus.com/pages/publications/85140862900?origin=resultslist" TargetMode="External"/><Relationship Id="rId103" Type="http://schemas.openxmlformats.org/officeDocument/2006/relationships/hyperlink" Target="https://www.scopus.com/pages/publications/85217266481?origin=resultslist" TargetMode="External"/><Relationship Id="rId108" Type="http://schemas.openxmlformats.org/officeDocument/2006/relationships/hyperlink" Target="https://www.scopus.com/pages/publications/85192266326?origin=resultslist" TargetMode="External"/><Relationship Id="rId20" Type="http://schemas.openxmlformats.org/officeDocument/2006/relationships/hyperlink" Target="https://www.scopus.com/pages/publications/105020262098?origin=resultslist" TargetMode="External"/><Relationship Id="rId41" Type="http://schemas.openxmlformats.org/officeDocument/2006/relationships/hyperlink" Target="https://www.scopus.com/pages/publications/85123511373?origin=resultslist" TargetMode="External"/><Relationship Id="rId54" Type="http://schemas.openxmlformats.org/officeDocument/2006/relationships/hyperlink" Target="https://www.scopus.com/pages/publications/85170645640?origin=resultslist" TargetMode="External"/><Relationship Id="rId62" Type="http://schemas.openxmlformats.org/officeDocument/2006/relationships/hyperlink" Target="https://www.scopus.com/pages/publications/85176294776?origin=resultslist" TargetMode="External"/><Relationship Id="rId70" Type="http://schemas.openxmlformats.org/officeDocument/2006/relationships/hyperlink" Target="https://www.scopus.com/pages/publications/85145650071?origin=resultslist" TargetMode="External"/><Relationship Id="rId75" Type="http://schemas.openxmlformats.org/officeDocument/2006/relationships/hyperlink" Target="https://www.scopus.com/pages/publications/105025369889?origin=resultslist" TargetMode="External"/><Relationship Id="rId83" Type="http://schemas.openxmlformats.org/officeDocument/2006/relationships/hyperlink" Target="https://www.scopus.com/pages/publications/85211983826?origin=resultslist" TargetMode="External"/><Relationship Id="rId88" Type="http://schemas.openxmlformats.org/officeDocument/2006/relationships/hyperlink" Target="https://www.scopus.com/pages/publications/85114001917?origin=resultslist" TargetMode="External"/><Relationship Id="rId91" Type="http://schemas.openxmlformats.org/officeDocument/2006/relationships/hyperlink" Target="https://www.scopus.com/pages/publications/85151010654?origin=resultslist" TargetMode="External"/><Relationship Id="rId96" Type="http://schemas.openxmlformats.org/officeDocument/2006/relationships/hyperlink" Target="https://www.scopus.com/pages/publications/105000211244?origin=resultslist" TargetMode="External"/><Relationship Id="rId1" Type="http://schemas.openxmlformats.org/officeDocument/2006/relationships/hyperlink" Target="https://www.scopus.com/pages/publications/105008413580?origin=resultslist" TargetMode="External"/><Relationship Id="rId6" Type="http://schemas.openxmlformats.org/officeDocument/2006/relationships/hyperlink" Target="https://www.scopus.com/pages/publications/105023664663?origin=resultslist" TargetMode="External"/><Relationship Id="rId15" Type="http://schemas.openxmlformats.org/officeDocument/2006/relationships/hyperlink" Target="https://www.scopus.com/pages/publications/85137571140?origin=resultslist" TargetMode="External"/><Relationship Id="rId23" Type="http://schemas.openxmlformats.org/officeDocument/2006/relationships/hyperlink" Target="https://www.scopus.com/pages/publications/85208437534?origin=resultslist" TargetMode="External"/><Relationship Id="rId28" Type="http://schemas.openxmlformats.org/officeDocument/2006/relationships/hyperlink" Target="https://www.scopus.com/pages/publications/85121706600?origin=resultslist" TargetMode="External"/><Relationship Id="rId36" Type="http://schemas.openxmlformats.org/officeDocument/2006/relationships/hyperlink" Target="https://www.scopus.com/pages/publications/85118875106?origin=resultslist" TargetMode="External"/><Relationship Id="rId49" Type="http://schemas.openxmlformats.org/officeDocument/2006/relationships/hyperlink" Target="https://www.scopus.com/pages/publications/85205105753?origin=resultslist" TargetMode="External"/><Relationship Id="rId57" Type="http://schemas.openxmlformats.org/officeDocument/2006/relationships/hyperlink" Target="https://www.scopus.com/pages/publications/85217176819?origin=resultslist" TargetMode="External"/><Relationship Id="rId106" Type="http://schemas.openxmlformats.org/officeDocument/2006/relationships/hyperlink" Target="https://www.scopus.com/pages/publications/85206495047?origin=resultslist" TargetMode="External"/><Relationship Id="rId10" Type="http://schemas.openxmlformats.org/officeDocument/2006/relationships/hyperlink" Target="https://www.scopus.com/pages/publications/105010300167?origin=resultslist" TargetMode="External"/><Relationship Id="rId31" Type="http://schemas.openxmlformats.org/officeDocument/2006/relationships/hyperlink" Target="https://www.scopus.com/pages/publications/105031445673?origin=resultslist" TargetMode="External"/><Relationship Id="rId44" Type="http://schemas.openxmlformats.org/officeDocument/2006/relationships/hyperlink" Target="https://www.scopus.com/pages/publications/105034084877?origin=resultslist" TargetMode="External"/><Relationship Id="rId52" Type="http://schemas.openxmlformats.org/officeDocument/2006/relationships/hyperlink" Target="https://www.scopus.com/pages/publications/105012034892?origin=resultslist" TargetMode="External"/><Relationship Id="rId60" Type="http://schemas.openxmlformats.org/officeDocument/2006/relationships/hyperlink" Target="https://www.scopus.com/pages/publications/85153764637?origin=resultslist" TargetMode="External"/><Relationship Id="rId65" Type="http://schemas.openxmlformats.org/officeDocument/2006/relationships/hyperlink" Target="https://www.scopus.com/pages/publications/105029538501?origin=resultslist" TargetMode="External"/><Relationship Id="rId73" Type="http://schemas.openxmlformats.org/officeDocument/2006/relationships/hyperlink" Target="https://www.scopus.com/pages/publications/85196420344?origin=resultslist" TargetMode="External"/><Relationship Id="rId78" Type="http://schemas.openxmlformats.org/officeDocument/2006/relationships/hyperlink" Target="https://www.scopus.com/pages/publications/85183252600?origin=resultslist" TargetMode="External"/><Relationship Id="rId81" Type="http://schemas.openxmlformats.org/officeDocument/2006/relationships/hyperlink" Target="https://www.scopus.com/pages/publications/85138192278?origin=resultslist" TargetMode="External"/><Relationship Id="rId86" Type="http://schemas.openxmlformats.org/officeDocument/2006/relationships/hyperlink" Target="https://www.scopus.com/pages/publications/85152590246?origin=resultslist" TargetMode="External"/><Relationship Id="rId94" Type="http://schemas.openxmlformats.org/officeDocument/2006/relationships/hyperlink" Target="https://www.scopus.com/pages/publications/85200494249?origin=resultslist" TargetMode="External"/><Relationship Id="rId99" Type="http://schemas.openxmlformats.org/officeDocument/2006/relationships/hyperlink" Target="https://www.scopus.com/pages/publications/85216100340?origin=resultslist" TargetMode="External"/><Relationship Id="rId101" Type="http://schemas.openxmlformats.org/officeDocument/2006/relationships/hyperlink" Target="https://www.scopus.com/pages/publications/105023567159?origin=resultslist" TargetMode="External"/><Relationship Id="rId4" Type="http://schemas.openxmlformats.org/officeDocument/2006/relationships/hyperlink" Target="https://www.scopus.com/pages/publications/105032365127?origin=resultslist" TargetMode="External"/><Relationship Id="rId9" Type="http://schemas.openxmlformats.org/officeDocument/2006/relationships/hyperlink" Target="https://www.scopus.com/pages/publications/105005438057?origin=resultslist" TargetMode="External"/><Relationship Id="rId13" Type="http://schemas.openxmlformats.org/officeDocument/2006/relationships/hyperlink" Target="https://www.scopus.com/pages/publications/85133187614?origin=resultslist" TargetMode="External"/><Relationship Id="rId18" Type="http://schemas.openxmlformats.org/officeDocument/2006/relationships/hyperlink" Target="https://www.scopus.com/pages/publications/85183344629?origin=resultslist" TargetMode="External"/><Relationship Id="rId39" Type="http://schemas.openxmlformats.org/officeDocument/2006/relationships/hyperlink" Target="https://www.scopus.com/pages/publications/85203524817?origin=resultslist" TargetMode="External"/><Relationship Id="rId34" Type="http://schemas.openxmlformats.org/officeDocument/2006/relationships/hyperlink" Target="https://www.scopus.com/pages/publications/85153771347?origin=resultslist" TargetMode="External"/><Relationship Id="rId50" Type="http://schemas.openxmlformats.org/officeDocument/2006/relationships/hyperlink" Target="https://www.scopus.com/pages/publications/105004892732?origin=resultslist" TargetMode="External"/><Relationship Id="rId55" Type="http://schemas.openxmlformats.org/officeDocument/2006/relationships/hyperlink" Target="https://www.scopus.com/pages/publications/85144579733?origin=resultslist" TargetMode="External"/><Relationship Id="rId76" Type="http://schemas.openxmlformats.org/officeDocument/2006/relationships/hyperlink" Target="https://www.scopus.com/pages/publications/85150390698?origin=resultslist" TargetMode="External"/><Relationship Id="rId97" Type="http://schemas.openxmlformats.org/officeDocument/2006/relationships/hyperlink" Target="https://www.scopus.com/pages/publications/85126261490?origin=resultslist" TargetMode="External"/><Relationship Id="rId104" Type="http://schemas.openxmlformats.org/officeDocument/2006/relationships/hyperlink" Target="https://www.scopus.com/pages/publications/85217162956?origin=resultslist" TargetMode="External"/><Relationship Id="rId7" Type="http://schemas.openxmlformats.org/officeDocument/2006/relationships/hyperlink" Target="https://www.scopus.com/pages/publications/105029235231?origin=resultslist" TargetMode="External"/><Relationship Id="rId71" Type="http://schemas.openxmlformats.org/officeDocument/2006/relationships/hyperlink" Target="https://www.scopus.com/pages/publications/105014526338?origin=resultslist" TargetMode="External"/><Relationship Id="rId92" Type="http://schemas.openxmlformats.org/officeDocument/2006/relationships/hyperlink" Target="https://www.scopus.com/pages/publications/85117017416?origin=resultslist" TargetMode="External"/><Relationship Id="rId2" Type="http://schemas.openxmlformats.org/officeDocument/2006/relationships/hyperlink" Target="https://www.scopus.com/pages/publications/105010312353?origin=resultslist" TargetMode="External"/><Relationship Id="rId29" Type="http://schemas.openxmlformats.org/officeDocument/2006/relationships/hyperlink" Target="https://www.scopus.com/pages/publications/85190145480?origin=resultslist" TargetMode="External"/><Relationship Id="rId24" Type="http://schemas.openxmlformats.org/officeDocument/2006/relationships/hyperlink" Target="https://www.scopus.com/pages/publications/85149881514?origin=resultslist" TargetMode="External"/><Relationship Id="rId40" Type="http://schemas.openxmlformats.org/officeDocument/2006/relationships/hyperlink" Target="https://www.scopus.com/pages/publications/85150169868?origin=resultslist" TargetMode="External"/><Relationship Id="rId45" Type="http://schemas.openxmlformats.org/officeDocument/2006/relationships/hyperlink" Target="https://www.scopus.com/pages/publications/85200999760?origin=resultslist" TargetMode="External"/><Relationship Id="rId66" Type="http://schemas.openxmlformats.org/officeDocument/2006/relationships/hyperlink" Target="https://www.scopus.com/pages/publications/105017134173?origin=resultslist" TargetMode="External"/><Relationship Id="rId87" Type="http://schemas.openxmlformats.org/officeDocument/2006/relationships/hyperlink" Target="https://www.scopus.com/pages/publications/105031521132?origin=resultslist" TargetMode="External"/><Relationship Id="rId61" Type="http://schemas.openxmlformats.org/officeDocument/2006/relationships/hyperlink" Target="https://www.scopus.com/pages/publications/85216531672?origin=resultslist" TargetMode="External"/><Relationship Id="rId82" Type="http://schemas.openxmlformats.org/officeDocument/2006/relationships/hyperlink" Target="https://www.scopus.com/pages/publications/85114726521?origin=resultslist" TargetMode="External"/><Relationship Id="rId19" Type="http://schemas.openxmlformats.org/officeDocument/2006/relationships/hyperlink" Target="https://www.scopus.com/pages/publications/105035385368?origin=resultslist" TargetMode="External"/><Relationship Id="rId14" Type="http://schemas.openxmlformats.org/officeDocument/2006/relationships/hyperlink" Target="https://www.scopus.com/pages/publications/85215131109?origin=resultslist" TargetMode="External"/><Relationship Id="rId30" Type="http://schemas.openxmlformats.org/officeDocument/2006/relationships/hyperlink" Target="https://www.scopus.com/pages/publications/85145436327?origin=resultslist" TargetMode="External"/><Relationship Id="rId35" Type="http://schemas.openxmlformats.org/officeDocument/2006/relationships/hyperlink" Target="https://www.scopus.com/pages/publications/85204127372?origin=resultslist" TargetMode="External"/><Relationship Id="rId56" Type="http://schemas.openxmlformats.org/officeDocument/2006/relationships/hyperlink" Target="https://www.scopus.com/pages/publications/85194384794?origin=resultslist" TargetMode="External"/><Relationship Id="rId77" Type="http://schemas.openxmlformats.org/officeDocument/2006/relationships/hyperlink" Target="https://www.scopus.com/pages/publications/85099720137?origin=resultslist" TargetMode="External"/><Relationship Id="rId100" Type="http://schemas.openxmlformats.org/officeDocument/2006/relationships/hyperlink" Target="https://www.scopus.com/pages/publications/85186531970?origin=resultslist" TargetMode="External"/><Relationship Id="rId105" Type="http://schemas.openxmlformats.org/officeDocument/2006/relationships/hyperlink" Target="https://www.scopus.com/pages/publications/85135129047?origin=resultslist" TargetMode="External"/><Relationship Id="rId8" Type="http://schemas.openxmlformats.org/officeDocument/2006/relationships/hyperlink" Target="https://www.scopus.com/pages/publications/105023488233?origin=resultslist" TargetMode="External"/><Relationship Id="rId51" Type="http://schemas.openxmlformats.org/officeDocument/2006/relationships/hyperlink" Target="https://www.scopus.com/pages/publications/85203879446?origin=resultslist" TargetMode="External"/><Relationship Id="rId72" Type="http://schemas.openxmlformats.org/officeDocument/2006/relationships/hyperlink" Target="https://www.scopus.com/pages/publications/105001497399?origin=resultslist" TargetMode="External"/><Relationship Id="rId93" Type="http://schemas.openxmlformats.org/officeDocument/2006/relationships/hyperlink" Target="https://www.scopus.com/pages/publications/105033440323?origin=resultslist" TargetMode="External"/><Relationship Id="rId98" Type="http://schemas.openxmlformats.org/officeDocument/2006/relationships/hyperlink" Target="https://www.scopus.com/pages/publications/85197557591?origin=resultslist" TargetMode="External"/><Relationship Id="rId3" Type="http://schemas.openxmlformats.org/officeDocument/2006/relationships/hyperlink" Target="https://www.scopus.com/pages/publications/105030096663?origin=resultslist" TargetMode="External"/><Relationship Id="rId25" Type="http://schemas.openxmlformats.org/officeDocument/2006/relationships/hyperlink" Target="https://www.scopus.com/pages/publications/105031416850?origin=resultslist" TargetMode="External"/><Relationship Id="rId46" Type="http://schemas.openxmlformats.org/officeDocument/2006/relationships/hyperlink" Target="https://www.scopus.com/pages/publications/85115165729?origin=resultslist" TargetMode="External"/><Relationship Id="rId67" Type="http://schemas.openxmlformats.org/officeDocument/2006/relationships/hyperlink" Target="https://www.scopus.com/pages/publications/105014909475?origin=resultslis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scopus.com/pages/publications/85192266326?origin=results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EAB88-3073-4CCD-B0C3-E8A7324D5C4A}">
  <sheetPr>
    <tabColor theme="3"/>
  </sheetPr>
  <dimension ref="B19:T24"/>
  <sheetViews>
    <sheetView tabSelected="1" workbookViewId="0">
      <selection activeCell="B14" sqref="B14"/>
    </sheetView>
  </sheetViews>
  <sheetFormatPr defaultRowHeight="14.4" x14ac:dyDescent="0.3"/>
  <cols>
    <col min="2" max="2" width="14.88671875" customWidth="1"/>
  </cols>
  <sheetData>
    <row r="19" spans="2:20" x14ac:dyDescent="0.3">
      <c r="T19" s="73"/>
    </row>
    <row r="23" spans="2:20" x14ac:dyDescent="0.3">
      <c r="B23" s="73"/>
    </row>
    <row r="24" spans="2:20" x14ac:dyDescent="0.3">
      <c r="B24" s="74" t="s">
        <v>1028</v>
      </c>
    </row>
  </sheetData>
  <hyperlinks>
    <hyperlink ref="B24" r:id="rId1" xr:uid="{F27F4959-4206-406F-98F3-EF37AD96B125}"/>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291F2-7F99-45ED-B9FC-5222B053CE65}">
  <sheetPr>
    <tabColor rgb="FF92D050"/>
  </sheetPr>
  <dimension ref="A1:E2"/>
  <sheetViews>
    <sheetView workbookViewId="0">
      <selection activeCell="F23" sqref="F23"/>
    </sheetView>
  </sheetViews>
  <sheetFormatPr defaultRowHeight="14.4" x14ac:dyDescent="0.3"/>
  <cols>
    <col min="1" max="1" width="19.44140625" customWidth="1"/>
    <col min="2" max="2" width="12" customWidth="1"/>
    <col min="3" max="3" width="10.33203125" customWidth="1"/>
    <col min="4" max="4" width="19.21875" customWidth="1"/>
    <col min="5" max="5" width="14.88671875" customWidth="1"/>
  </cols>
  <sheetData>
    <row r="1" spans="1:5" ht="43.2" x14ac:dyDescent="0.3">
      <c r="A1" s="49" t="s">
        <v>929</v>
      </c>
      <c r="B1" s="50" t="s">
        <v>930</v>
      </c>
      <c r="C1" s="50" t="s">
        <v>933</v>
      </c>
      <c r="D1" s="50" t="s">
        <v>931</v>
      </c>
      <c r="E1" s="50" t="s">
        <v>932</v>
      </c>
    </row>
    <row r="2" spans="1:5" x14ac:dyDescent="0.3">
      <c r="A2" s="34" t="s">
        <v>34</v>
      </c>
      <c r="B2" s="35">
        <v>179</v>
      </c>
      <c r="C2" s="51">
        <v>115</v>
      </c>
      <c r="D2" s="51">
        <v>107</v>
      </c>
      <c r="E2" s="51">
        <v>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1021-6A29-4DFB-A79C-1D7230AA7864}">
  <sheetPr>
    <tabColor rgb="FF92D050"/>
  </sheetPr>
  <dimension ref="A1:B5"/>
  <sheetViews>
    <sheetView workbookViewId="0">
      <selection activeCell="Q17" sqref="Q17"/>
    </sheetView>
  </sheetViews>
  <sheetFormatPr defaultRowHeight="14.4" x14ac:dyDescent="0.3"/>
  <cols>
    <col min="1" max="1" width="18.6640625" customWidth="1"/>
    <col min="2" max="2" width="22.44140625" customWidth="1"/>
  </cols>
  <sheetData>
    <row r="1" spans="1:2" ht="28.8" x14ac:dyDescent="0.3">
      <c r="A1" s="40" t="s">
        <v>924</v>
      </c>
      <c r="B1" s="41" t="s">
        <v>925</v>
      </c>
    </row>
    <row r="2" spans="1:2" x14ac:dyDescent="0.3">
      <c r="A2" s="42" t="s">
        <v>926</v>
      </c>
      <c r="B2" s="35">
        <v>20</v>
      </c>
    </row>
    <row r="3" spans="1:2" x14ac:dyDescent="0.3">
      <c r="A3" s="43" t="s">
        <v>927</v>
      </c>
      <c r="B3" s="35">
        <v>15</v>
      </c>
    </row>
    <row r="4" spans="1:2" x14ac:dyDescent="0.3">
      <c r="A4" s="42" t="s">
        <v>928</v>
      </c>
      <c r="B4" s="35">
        <v>6</v>
      </c>
    </row>
    <row r="5" spans="1:2" x14ac:dyDescent="0.3">
      <c r="A5" s="44" t="s">
        <v>918</v>
      </c>
      <c r="B5" s="41">
        <f>SUM(B2:B4)</f>
        <v>41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B4F81-531A-4997-A962-5AEEE0B349E5}">
  <sheetPr>
    <tabColor rgb="FF92D050"/>
  </sheetPr>
  <dimension ref="A1:C19"/>
  <sheetViews>
    <sheetView workbookViewId="0">
      <selection activeCell="S8" sqref="S8"/>
    </sheetView>
  </sheetViews>
  <sheetFormatPr defaultRowHeight="14.4" x14ac:dyDescent="0.3"/>
  <cols>
    <col min="1" max="1" width="18.33203125" customWidth="1"/>
    <col min="2" max="2" width="31.109375" customWidth="1"/>
  </cols>
  <sheetData>
    <row r="1" spans="1:3" x14ac:dyDescent="0.3">
      <c r="A1" s="45" t="s">
        <v>4</v>
      </c>
      <c r="B1" s="46" t="s">
        <v>923</v>
      </c>
    </row>
    <row r="2" spans="1:3" x14ac:dyDescent="0.3">
      <c r="A2" s="34">
        <v>2025</v>
      </c>
      <c r="B2" s="35">
        <v>18</v>
      </c>
    </row>
    <row r="3" spans="1:3" x14ac:dyDescent="0.3">
      <c r="A3" s="34">
        <v>2022</v>
      </c>
      <c r="B3" s="35">
        <v>16</v>
      </c>
    </row>
    <row r="4" spans="1:3" x14ac:dyDescent="0.3">
      <c r="A4" s="34">
        <v>2024</v>
      </c>
      <c r="B4" s="35">
        <v>15</v>
      </c>
    </row>
    <row r="5" spans="1:3" x14ac:dyDescent="0.3">
      <c r="A5" s="34">
        <v>2023</v>
      </c>
      <c r="B5" s="35">
        <v>11</v>
      </c>
    </row>
    <row r="6" spans="1:3" x14ac:dyDescent="0.3">
      <c r="A6" s="34">
        <v>2021</v>
      </c>
      <c r="B6" s="35">
        <v>9</v>
      </c>
    </row>
    <row r="7" spans="1:3" x14ac:dyDescent="0.3">
      <c r="A7" s="34">
        <v>2026</v>
      </c>
      <c r="B7" s="35">
        <v>5</v>
      </c>
    </row>
    <row r="8" spans="1:3" x14ac:dyDescent="0.3">
      <c r="A8" s="47" t="s">
        <v>918</v>
      </c>
      <c r="B8" s="48">
        <f>SUM(B2,B3,B4,B5,B6,B7)</f>
        <v>74</v>
      </c>
    </row>
    <row r="11" spans="1:3" x14ac:dyDescent="0.3">
      <c r="A11" s="8"/>
      <c r="B11" s="8"/>
      <c r="C11" s="8"/>
    </row>
    <row r="12" spans="1:3" x14ac:dyDescent="0.3">
      <c r="A12" s="8"/>
      <c r="B12" s="8"/>
      <c r="C12" s="8"/>
    </row>
    <row r="13" spans="1:3" x14ac:dyDescent="0.3">
      <c r="A13" s="36"/>
      <c r="B13" s="37"/>
      <c r="C13" s="8"/>
    </row>
    <row r="14" spans="1:3" x14ac:dyDescent="0.3">
      <c r="A14" s="38"/>
      <c r="B14" s="39"/>
      <c r="C14" s="8"/>
    </row>
    <row r="15" spans="1:3" x14ac:dyDescent="0.3">
      <c r="A15" s="38"/>
      <c r="B15" s="39"/>
      <c r="C15" s="8"/>
    </row>
    <row r="16" spans="1:3" x14ac:dyDescent="0.3">
      <c r="A16" s="38"/>
      <c r="B16" s="39"/>
      <c r="C16" s="8"/>
    </row>
    <row r="17" spans="1:3" x14ac:dyDescent="0.3">
      <c r="A17" s="38"/>
      <c r="B17" s="39"/>
      <c r="C17" s="8"/>
    </row>
    <row r="18" spans="1:3" x14ac:dyDescent="0.3">
      <c r="A18" s="38"/>
      <c r="B18" s="39"/>
      <c r="C18" s="8"/>
    </row>
    <row r="19" spans="1:3" x14ac:dyDescent="0.3">
      <c r="A19" s="38"/>
      <c r="B19" s="39"/>
      <c r="C19"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7D13-C505-4392-BAE4-32D6DB066795}">
  <sheetPr>
    <tabColor rgb="FF92D050"/>
  </sheetPr>
  <dimension ref="A1:B11"/>
  <sheetViews>
    <sheetView workbookViewId="0">
      <selection activeCell="B6" sqref="B6:B8"/>
    </sheetView>
  </sheetViews>
  <sheetFormatPr defaultRowHeight="14.4" x14ac:dyDescent="0.3"/>
  <cols>
    <col min="1" max="1" width="27.88671875" customWidth="1"/>
    <col min="2" max="2" width="15" customWidth="1"/>
  </cols>
  <sheetData>
    <row r="1" spans="1:2" ht="28.8" x14ac:dyDescent="0.3">
      <c r="A1" s="40" t="s">
        <v>934</v>
      </c>
      <c r="B1" s="41" t="s">
        <v>925</v>
      </c>
    </row>
    <row r="2" spans="1:2" x14ac:dyDescent="0.3">
      <c r="A2" s="34">
        <v>0</v>
      </c>
      <c r="B2" s="35">
        <v>0</v>
      </c>
    </row>
    <row r="3" spans="1:2" x14ac:dyDescent="0.3">
      <c r="A3" s="34">
        <v>0.5</v>
      </c>
      <c r="B3" s="35">
        <v>0</v>
      </c>
    </row>
    <row r="4" spans="1:2" x14ac:dyDescent="0.3">
      <c r="A4" s="34">
        <v>1</v>
      </c>
      <c r="B4" s="35">
        <v>3</v>
      </c>
    </row>
    <row r="5" spans="1:2" x14ac:dyDescent="0.3">
      <c r="A5" s="34">
        <v>1.5</v>
      </c>
      <c r="B5" s="35">
        <v>0</v>
      </c>
    </row>
    <row r="6" spans="1:2" x14ac:dyDescent="0.3">
      <c r="A6" s="34">
        <v>2</v>
      </c>
      <c r="B6" s="35">
        <v>79</v>
      </c>
    </row>
    <row r="7" spans="1:2" x14ac:dyDescent="0.3">
      <c r="A7" s="34">
        <v>2.5</v>
      </c>
      <c r="B7" s="35">
        <v>11</v>
      </c>
    </row>
    <row r="8" spans="1:2" x14ac:dyDescent="0.3">
      <c r="A8" s="34">
        <v>3</v>
      </c>
      <c r="B8" s="35">
        <v>5</v>
      </c>
    </row>
    <row r="9" spans="1:2" x14ac:dyDescent="0.3">
      <c r="A9" s="34">
        <v>3.5</v>
      </c>
      <c r="B9" s="35">
        <v>3</v>
      </c>
    </row>
    <row r="10" spans="1:2" x14ac:dyDescent="0.3">
      <c r="A10" s="34">
        <v>4</v>
      </c>
      <c r="B10" s="35">
        <v>5</v>
      </c>
    </row>
    <row r="11" spans="1:2" x14ac:dyDescent="0.3">
      <c r="A11" s="44" t="s">
        <v>918</v>
      </c>
      <c r="B11" s="35">
        <v>106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D166E-A538-4F25-B767-6E226E9CCFE5}">
  <sheetPr>
    <tabColor rgb="FF92D050"/>
  </sheetPr>
  <dimension ref="A1:B26"/>
  <sheetViews>
    <sheetView topLeftCell="B3" zoomScale="86" zoomScaleNormal="86" workbookViewId="0">
      <selection activeCell="Y9" sqref="Y9"/>
    </sheetView>
  </sheetViews>
  <sheetFormatPr defaultRowHeight="14.4" x14ac:dyDescent="0.3"/>
  <cols>
    <col min="1" max="1" width="26.6640625" customWidth="1"/>
    <col min="2" max="2" width="18.21875" customWidth="1"/>
  </cols>
  <sheetData>
    <row r="1" spans="1:2" ht="28.8" x14ac:dyDescent="0.3">
      <c r="A1" s="41" t="s">
        <v>959</v>
      </c>
      <c r="B1" s="70" t="s">
        <v>925</v>
      </c>
    </row>
    <row r="2" spans="1:2" ht="57.6" x14ac:dyDescent="0.3">
      <c r="A2" s="71" t="s">
        <v>960</v>
      </c>
      <c r="B2" s="72">
        <v>4</v>
      </c>
    </row>
    <row r="3" spans="1:2" x14ac:dyDescent="0.3">
      <c r="A3" s="71" t="s">
        <v>961</v>
      </c>
      <c r="B3" s="72">
        <v>4</v>
      </c>
    </row>
    <row r="4" spans="1:2" ht="72" x14ac:dyDescent="0.3">
      <c r="A4" s="71" t="s">
        <v>962</v>
      </c>
      <c r="B4" s="72">
        <v>3</v>
      </c>
    </row>
    <row r="5" spans="1:2" ht="28.8" x14ac:dyDescent="0.3">
      <c r="A5" s="71" t="s">
        <v>963</v>
      </c>
      <c r="B5" s="72">
        <v>2</v>
      </c>
    </row>
    <row r="6" spans="1:2" ht="57.6" x14ac:dyDescent="0.3">
      <c r="A6" s="71" t="s">
        <v>964</v>
      </c>
      <c r="B6" s="72">
        <v>2</v>
      </c>
    </row>
    <row r="7" spans="1:2" ht="72" x14ac:dyDescent="0.3">
      <c r="A7" s="71" t="s">
        <v>965</v>
      </c>
      <c r="B7" s="72">
        <v>1</v>
      </c>
    </row>
    <row r="8" spans="1:2" ht="43.2" x14ac:dyDescent="0.3">
      <c r="A8" s="71" t="s">
        <v>966</v>
      </c>
      <c r="B8" s="72">
        <v>1</v>
      </c>
    </row>
    <row r="9" spans="1:2" ht="57.6" x14ac:dyDescent="0.3">
      <c r="A9" s="71" t="s">
        <v>967</v>
      </c>
      <c r="B9" s="72">
        <v>1</v>
      </c>
    </row>
    <row r="10" spans="1:2" ht="43.2" x14ac:dyDescent="0.3">
      <c r="A10" s="71" t="s">
        <v>968</v>
      </c>
      <c r="B10" s="72">
        <v>1</v>
      </c>
    </row>
    <row r="11" spans="1:2" x14ac:dyDescent="0.3">
      <c r="A11" s="71" t="s">
        <v>969</v>
      </c>
      <c r="B11" s="72">
        <v>1</v>
      </c>
    </row>
    <row r="12" spans="1:2" ht="57.6" x14ac:dyDescent="0.3">
      <c r="A12" s="71" t="s">
        <v>970</v>
      </c>
      <c r="B12" s="72">
        <v>1</v>
      </c>
    </row>
    <row r="13" spans="1:2" x14ac:dyDescent="0.3">
      <c r="A13" s="71" t="s">
        <v>971</v>
      </c>
      <c r="B13" s="72">
        <v>1</v>
      </c>
    </row>
    <row r="14" spans="1:2" x14ac:dyDescent="0.3">
      <c r="A14" s="71" t="s">
        <v>972</v>
      </c>
      <c r="B14" s="72">
        <v>1</v>
      </c>
    </row>
    <row r="15" spans="1:2" x14ac:dyDescent="0.3">
      <c r="A15" s="71" t="s">
        <v>973</v>
      </c>
      <c r="B15" s="72">
        <v>1</v>
      </c>
    </row>
    <row r="16" spans="1:2" ht="28.8" x14ac:dyDescent="0.3">
      <c r="A16" s="71" t="s">
        <v>974</v>
      </c>
      <c r="B16" s="72">
        <v>1</v>
      </c>
    </row>
    <row r="17" spans="1:2" x14ac:dyDescent="0.3">
      <c r="A17" s="71" t="s">
        <v>975</v>
      </c>
      <c r="B17" s="72">
        <v>1</v>
      </c>
    </row>
    <row r="18" spans="1:2" x14ac:dyDescent="0.3">
      <c r="A18" s="71" t="s">
        <v>976</v>
      </c>
      <c r="B18" s="72">
        <v>1</v>
      </c>
    </row>
    <row r="19" spans="1:2" x14ac:dyDescent="0.3">
      <c r="A19" s="71" t="s">
        <v>977</v>
      </c>
      <c r="B19" s="72">
        <v>1</v>
      </c>
    </row>
    <row r="20" spans="1:2" ht="28.8" x14ac:dyDescent="0.3">
      <c r="A20" s="71" t="s">
        <v>978</v>
      </c>
      <c r="B20" s="72">
        <v>1</v>
      </c>
    </row>
    <row r="21" spans="1:2" x14ac:dyDescent="0.3">
      <c r="A21" s="71" t="s">
        <v>979</v>
      </c>
      <c r="B21" s="72">
        <v>1</v>
      </c>
    </row>
    <row r="22" spans="1:2" ht="28.8" x14ac:dyDescent="0.3">
      <c r="A22" s="71" t="s">
        <v>980</v>
      </c>
      <c r="B22" s="72">
        <v>1</v>
      </c>
    </row>
    <row r="23" spans="1:2" x14ac:dyDescent="0.3">
      <c r="A23" s="71" t="s">
        <v>981</v>
      </c>
      <c r="B23" s="72">
        <v>1</v>
      </c>
    </row>
    <row r="24" spans="1:2" ht="28.8" x14ac:dyDescent="0.3">
      <c r="A24" s="71" t="s">
        <v>982</v>
      </c>
      <c r="B24" s="72">
        <v>1</v>
      </c>
    </row>
    <row r="25" spans="1:2" x14ac:dyDescent="0.3">
      <c r="A25" s="71" t="s">
        <v>983</v>
      </c>
      <c r="B25" s="72">
        <v>1</v>
      </c>
    </row>
    <row r="26" spans="1:2" x14ac:dyDescent="0.3">
      <c r="A26" s="71" t="s">
        <v>984</v>
      </c>
      <c r="B26" s="72">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8559B-2177-42E7-8FEC-21315E04D404}">
  <sheetPr>
    <tabColor rgb="FF92D050"/>
  </sheetPr>
  <dimension ref="A1:D15"/>
  <sheetViews>
    <sheetView topLeftCell="A4" zoomScale="76" zoomScaleNormal="76" workbookViewId="0">
      <selection activeCell="U8" sqref="U8"/>
    </sheetView>
  </sheetViews>
  <sheetFormatPr defaultRowHeight="14.4" x14ac:dyDescent="0.3"/>
  <cols>
    <col min="1" max="1" width="16.5546875" customWidth="1"/>
    <col min="2" max="2" width="20.109375" customWidth="1"/>
    <col min="3" max="4" width="13.109375" customWidth="1"/>
  </cols>
  <sheetData>
    <row r="1" spans="1:4" x14ac:dyDescent="0.3">
      <c r="A1" s="41" t="s">
        <v>1007</v>
      </c>
      <c r="B1" s="41" t="s">
        <v>1008</v>
      </c>
      <c r="C1" s="70" t="s">
        <v>1009</v>
      </c>
      <c r="D1" s="70" t="s">
        <v>1010</v>
      </c>
    </row>
    <row r="2" spans="1:4" ht="28.8" x14ac:dyDescent="0.3">
      <c r="A2" s="71" t="s">
        <v>1011</v>
      </c>
      <c r="B2" s="71" t="s">
        <v>1012</v>
      </c>
      <c r="C2" s="72">
        <v>3</v>
      </c>
      <c r="D2" s="72">
        <v>1</v>
      </c>
    </row>
    <row r="3" spans="1:4" ht="28.8" x14ac:dyDescent="0.3">
      <c r="A3" s="71"/>
      <c r="B3" s="71" t="s">
        <v>1013</v>
      </c>
      <c r="C3" s="72"/>
      <c r="D3" s="72">
        <v>1</v>
      </c>
    </row>
    <row r="4" spans="1:4" ht="43.2" x14ac:dyDescent="0.3">
      <c r="A4" s="71"/>
      <c r="B4" s="71" t="s">
        <v>1014</v>
      </c>
      <c r="C4" s="72"/>
      <c r="D4" s="72">
        <v>1</v>
      </c>
    </row>
    <row r="5" spans="1:4" ht="72" x14ac:dyDescent="0.3">
      <c r="A5" s="71" t="s">
        <v>1015</v>
      </c>
      <c r="B5" s="71" t="s">
        <v>1016</v>
      </c>
      <c r="C5" s="72">
        <v>1</v>
      </c>
      <c r="D5" s="72">
        <v>1</v>
      </c>
    </row>
    <row r="6" spans="1:4" ht="28.8" x14ac:dyDescent="0.3">
      <c r="A6" s="71" t="s">
        <v>1017</v>
      </c>
      <c r="B6" s="71" t="s">
        <v>1018</v>
      </c>
      <c r="C6" s="72">
        <v>1</v>
      </c>
      <c r="D6" s="72">
        <v>1</v>
      </c>
    </row>
    <row r="7" spans="1:4" ht="57.6" x14ac:dyDescent="0.3">
      <c r="A7" s="71" t="s">
        <v>1019</v>
      </c>
      <c r="B7" s="71" t="s">
        <v>1020</v>
      </c>
      <c r="C7" s="72">
        <v>1</v>
      </c>
      <c r="D7" s="72">
        <v>1</v>
      </c>
    </row>
    <row r="8" spans="1:4" ht="43.2" x14ac:dyDescent="0.3">
      <c r="A8" s="71" t="s">
        <v>1021</v>
      </c>
      <c r="B8" s="71" t="s">
        <v>966</v>
      </c>
      <c r="C8" s="72">
        <v>1</v>
      </c>
      <c r="D8" s="72">
        <v>1</v>
      </c>
    </row>
    <row r="9" spans="1:4" ht="57.6" x14ac:dyDescent="0.3">
      <c r="A9" s="71" t="s">
        <v>1022</v>
      </c>
      <c r="B9" s="71" t="s">
        <v>967</v>
      </c>
      <c r="C9" s="72">
        <v>5</v>
      </c>
      <c r="D9" s="72">
        <v>1</v>
      </c>
    </row>
    <row r="10" spans="1:4" ht="43.2" x14ac:dyDescent="0.3">
      <c r="A10" s="71"/>
      <c r="B10" s="71" t="s">
        <v>968</v>
      </c>
      <c r="C10" s="72"/>
      <c r="D10" s="72">
        <v>1</v>
      </c>
    </row>
    <row r="11" spans="1:4" ht="72" x14ac:dyDescent="0.3">
      <c r="A11" s="71"/>
      <c r="B11" s="71" t="s">
        <v>1023</v>
      </c>
      <c r="C11" s="72"/>
      <c r="D11" s="72">
        <v>1</v>
      </c>
    </row>
    <row r="12" spans="1:4" ht="57.6" x14ac:dyDescent="0.3">
      <c r="A12" s="71"/>
      <c r="B12" s="71" t="s">
        <v>971</v>
      </c>
      <c r="C12" s="72"/>
      <c r="D12" s="72">
        <v>1</v>
      </c>
    </row>
    <row r="13" spans="1:4" ht="57.6" x14ac:dyDescent="0.3">
      <c r="A13" s="71"/>
      <c r="B13" s="71" t="s">
        <v>972</v>
      </c>
      <c r="C13" s="72"/>
      <c r="D13" s="72">
        <v>1</v>
      </c>
    </row>
    <row r="14" spans="1:4" ht="28.8" x14ac:dyDescent="0.3">
      <c r="A14" s="71" t="s">
        <v>1024</v>
      </c>
      <c r="B14" s="71" t="s">
        <v>1025</v>
      </c>
      <c r="C14" s="72">
        <v>1</v>
      </c>
      <c r="D14" s="72">
        <v>1</v>
      </c>
    </row>
    <row r="15" spans="1:4" ht="28.8" x14ac:dyDescent="0.3">
      <c r="A15" s="71" t="s">
        <v>1026</v>
      </c>
      <c r="B15" s="71" t="s">
        <v>1027</v>
      </c>
      <c r="C15" s="72">
        <v>1</v>
      </c>
      <c r="D15" s="72">
        <v>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7EB78-E7FD-44E9-A561-F0A61FD79F56}">
  <sheetPr>
    <tabColor rgb="FF92D050"/>
  </sheetPr>
  <dimension ref="A1:B24"/>
  <sheetViews>
    <sheetView workbookViewId="0">
      <selection sqref="A1:A1048576"/>
    </sheetView>
  </sheetViews>
  <sheetFormatPr defaultRowHeight="14.4" x14ac:dyDescent="0.3"/>
  <cols>
    <col min="1" max="1" width="30.21875" customWidth="1"/>
    <col min="2" max="2" width="22.109375" customWidth="1"/>
  </cols>
  <sheetData>
    <row r="1" spans="1:2" x14ac:dyDescent="0.3">
      <c r="A1" s="69" t="s">
        <v>959</v>
      </c>
      <c r="B1" s="69" t="s">
        <v>925</v>
      </c>
    </row>
    <row r="2" spans="1:2" x14ac:dyDescent="0.3">
      <c r="A2" s="71" t="s">
        <v>985</v>
      </c>
      <c r="B2" s="72">
        <v>2</v>
      </c>
    </row>
    <row r="3" spans="1:2" x14ac:dyDescent="0.3">
      <c r="A3" s="71" t="s">
        <v>986</v>
      </c>
      <c r="B3" s="72">
        <v>1</v>
      </c>
    </row>
    <row r="4" spans="1:2" x14ac:dyDescent="0.3">
      <c r="A4" s="71" t="s">
        <v>987</v>
      </c>
      <c r="B4" s="72">
        <v>1</v>
      </c>
    </row>
    <row r="5" spans="1:2" x14ac:dyDescent="0.3">
      <c r="A5" s="71" t="s">
        <v>988</v>
      </c>
      <c r="B5" s="72">
        <v>1</v>
      </c>
    </row>
    <row r="6" spans="1:2" x14ac:dyDescent="0.3">
      <c r="A6" s="71" t="s">
        <v>945</v>
      </c>
      <c r="B6" s="72">
        <v>1</v>
      </c>
    </row>
    <row r="7" spans="1:2" ht="67.2" customHeight="1" x14ac:dyDescent="0.3">
      <c r="A7" s="71" t="s">
        <v>989</v>
      </c>
      <c r="B7" s="72">
        <v>1</v>
      </c>
    </row>
    <row r="8" spans="1:2" ht="57.6" x14ac:dyDescent="0.3">
      <c r="A8" s="71" t="s">
        <v>990</v>
      </c>
      <c r="B8" s="72">
        <v>1</v>
      </c>
    </row>
    <row r="9" spans="1:2" ht="43.2" x14ac:dyDescent="0.3">
      <c r="A9" s="71" t="s">
        <v>991</v>
      </c>
      <c r="B9" s="72">
        <v>1</v>
      </c>
    </row>
    <row r="10" spans="1:2" ht="57.6" x14ac:dyDescent="0.3">
      <c r="A10" s="71" t="s">
        <v>992</v>
      </c>
      <c r="B10" s="72">
        <v>1</v>
      </c>
    </row>
    <row r="11" spans="1:2" ht="57.6" x14ac:dyDescent="0.3">
      <c r="A11" s="71" t="s">
        <v>993</v>
      </c>
      <c r="B11" s="72">
        <v>1</v>
      </c>
    </row>
    <row r="12" spans="1:2" ht="28.8" x14ac:dyDescent="0.3">
      <c r="A12" s="71" t="s">
        <v>994</v>
      </c>
      <c r="B12" s="72">
        <v>1</v>
      </c>
    </row>
    <row r="13" spans="1:2" x14ac:dyDescent="0.3">
      <c r="A13" s="71" t="s">
        <v>995</v>
      </c>
      <c r="B13" s="72">
        <v>1</v>
      </c>
    </row>
    <row r="14" spans="1:2" x14ac:dyDescent="0.3">
      <c r="A14" s="71" t="s">
        <v>996</v>
      </c>
      <c r="B14" s="72">
        <v>1</v>
      </c>
    </row>
    <row r="15" spans="1:2" x14ac:dyDescent="0.3">
      <c r="A15" s="71" t="s">
        <v>997</v>
      </c>
      <c r="B15" s="72">
        <v>1</v>
      </c>
    </row>
    <row r="16" spans="1:2" ht="69" customHeight="1" x14ac:dyDescent="0.3">
      <c r="A16" s="71" t="s">
        <v>998</v>
      </c>
      <c r="B16" s="72">
        <v>1</v>
      </c>
    </row>
    <row r="17" spans="1:2" x14ac:dyDescent="0.3">
      <c r="A17" s="71" t="s">
        <v>999</v>
      </c>
      <c r="B17" s="72">
        <v>1</v>
      </c>
    </row>
    <row r="18" spans="1:2" x14ac:dyDescent="0.3">
      <c r="A18" s="71" t="s">
        <v>1000</v>
      </c>
      <c r="B18" s="72">
        <v>1</v>
      </c>
    </row>
    <row r="19" spans="1:2" x14ac:dyDescent="0.3">
      <c r="A19" s="71" t="s">
        <v>1001</v>
      </c>
      <c r="B19" s="72">
        <v>1</v>
      </c>
    </row>
    <row r="20" spans="1:2" ht="51" customHeight="1" x14ac:dyDescent="0.3">
      <c r="A20" s="71" t="s">
        <v>1002</v>
      </c>
      <c r="B20" s="72">
        <v>1</v>
      </c>
    </row>
    <row r="21" spans="1:2" x14ac:dyDescent="0.3">
      <c r="A21" s="71" t="s">
        <v>1003</v>
      </c>
      <c r="B21" s="72">
        <v>1</v>
      </c>
    </row>
    <row r="22" spans="1:2" x14ac:dyDescent="0.3">
      <c r="A22" s="71" t="s">
        <v>1004</v>
      </c>
      <c r="B22" s="72">
        <v>1</v>
      </c>
    </row>
    <row r="23" spans="1:2" x14ac:dyDescent="0.3">
      <c r="A23" s="71" t="s">
        <v>1005</v>
      </c>
      <c r="B23" s="72">
        <v>1</v>
      </c>
    </row>
    <row r="24" spans="1:2" ht="28.8" x14ac:dyDescent="0.3">
      <c r="A24" s="71" t="s">
        <v>1006</v>
      </c>
      <c r="B24" s="72">
        <v>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BG16"/>
  <sheetViews>
    <sheetView zoomScaleNormal="100" workbookViewId="0">
      <pane ySplit="1" topLeftCell="A6" activePane="bottomLeft" state="frozen"/>
      <selection activeCell="Q1" sqref="Q1"/>
      <selection pane="bottomLeft" activeCell="O15" sqref="O15"/>
    </sheetView>
  </sheetViews>
  <sheetFormatPr defaultRowHeight="14.4" x14ac:dyDescent="0.3"/>
  <cols>
    <col min="1" max="1" width="15.109375" style="8" customWidth="1"/>
    <col min="2" max="2" width="13.88671875" style="8" customWidth="1"/>
    <col min="3" max="3" width="11.77734375" style="8" customWidth="1"/>
    <col min="4" max="4" width="16.21875" style="8" customWidth="1"/>
    <col min="5" max="5" width="10" style="8" customWidth="1"/>
    <col min="6" max="6" width="13.5546875" style="8" customWidth="1"/>
    <col min="7" max="8" width="10" style="8" customWidth="1"/>
    <col min="9" max="9" width="9.21875" style="8" customWidth="1"/>
    <col min="10" max="10" width="8.6640625" style="8" customWidth="1"/>
    <col min="11" max="11" width="7.33203125" style="8" customWidth="1"/>
    <col min="12" max="12" width="7.77734375" style="8" customWidth="1"/>
    <col min="13" max="13" width="12.21875" style="8" customWidth="1"/>
    <col min="14" max="14" width="15.33203125" style="8" customWidth="1"/>
    <col min="15" max="15" width="8.33203125" style="8" customWidth="1"/>
    <col min="16" max="16" width="11" style="8" customWidth="1"/>
    <col min="17" max="17" width="18" style="8" customWidth="1"/>
    <col min="18" max="18" width="10" style="8" customWidth="1"/>
    <col min="19" max="19" width="20" style="8" customWidth="1"/>
    <col min="20" max="20" width="16.33203125" style="8" customWidth="1"/>
    <col min="21" max="21" width="18.33203125" style="8" customWidth="1"/>
    <col min="22" max="22" width="13.6640625" style="8" customWidth="1"/>
    <col min="23" max="23" width="17.77734375" style="8" customWidth="1"/>
    <col min="24" max="24" width="17" style="8" customWidth="1"/>
    <col min="25" max="25" width="22.88671875" style="8" customWidth="1"/>
    <col min="26" max="26" width="26" style="8" customWidth="1"/>
    <col min="27" max="16384" width="8.88671875" style="8"/>
  </cols>
  <sheetData>
    <row r="1" spans="1:59" ht="28.8" x14ac:dyDescent="0.3">
      <c r="A1" s="18" t="s">
        <v>0</v>
      </c>
      <c r="B1" s="18" t="s">
        <v>1</v>
      </c>
      <c r="C1" s="18" t="s">
        <v>2</v>
      </c>
      <c r="D1" s="19"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60" t="s">
        <v>19</v>
      </c>
      <c r="U1" s="60" t="s">
        <v>20</v>
      </c>
      <c r="V1" s="60" t="s">
        <v>21</v>
      </c>
      <c r="W1" s="60" t="s">
        <v>22</v>
      </c>
      <c r="X1" s="61" t="s">
        <v>23</v>
      </c>
      <c r="Y1" s="64" t="s">
        <v>942</v>
      </c>
      <c r="Z1" s="64" t="s">
        <v>941</v>
      </c>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row>
    <row r="2" spans="1:59" ht="205.2" customHeight="1" x14ac:dyDescent="0.3">
      <c r="A2" s="8" t="s">
        <v>24</v>
      </c>
      <c r="B2" s="8" t="s">
        <v>25</v>
      </c>
      <c r="C2" s="8" t="s">
        <v>26</v>
      </c>
      <c r="D2" s="8" t="s">
        <v>27</v>
      </c>
      <c r="E2" s="8">
        <v>2024</v>
      </c>
      <c r="F2" s="8" t="s">
        <v>28</v>
      </c>
      <c r="G2" s="8">
        <v>250</v>
      </c>
      <c r="I2" s="8" t="s">
        <v>29</v>
      </c>
      <c r="L2" s="8">
        <v>29</v>
      </c>
      <c r="M2" s="8" t="s">
        <v>30</v>
      </c>
      <c r="N2" s="8" t="s">
        <v>31</v>
      </c>
      <c r="O2" s="8" t="s">
        <v>32</v>
      </c>
      <c r="P2" s="8" t="s">
        <v>33</v>
      </c>
      <c r="R2" s="8" t="s">
        <v>34</v>
      </c>
      <c r="S2" s="54" t="s">
        <v>35</v>
      </c>
      <c r="T2" s="20" t="s">
        <v>87</v>
      </c>
      <c r="U2" s="20" t="s">
        <v>88</v>
      </c>
      <c r="V2" s="20" t="s">
        <v>940</v>
      </c>
      <c r="W2" s="20" t="s">
        <v>89</v>
      </c>
      <c r="X2" s="20" t="s">
        <v>90</v>
      </c>
      <c r="Y2" s="63" t="s">
        <v>946</v>
      </c>
      <c r="Z2" t="s">
        <v>945</v>
      </c>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row>
    <row r="3" spans="1:59" s="20" customFormat="1" ht="131.4" customHeight="1" x14ac:dyDescent="0.3">
      <c r="A3" s="20" t="s">
        <v>36</v>
      </c>
      <c r="B3" s="20" t="s">
        <v>37</v>
      </c>
      <c r="C3" s="20" t="s">
        <v>38</v>
      </c>
      <c r="D3" s="20" t="s">
        <v>39</v>
      </c>
      <c r="E3" s="20">
        <v>2024</v>
      </c>
      <c r="F3" s="20" t="s">
        <v>40</v>
      </c>
      <c r="G3" s="20">
        <v>14</v>
      </c>
      <c r="H3" s="20">
        <v>8</v>
      </c>
      <c r="I3" s="20" t="s">
        <v>41</v>
      </c>
      <c r="L3" s="20">
        <v>8</v>
      </c>
      <c r="M3" s="20" t="s">
        <v>42</v>
      </c>
      <c r="N3" s="20" t="s">
        <v>43</v>
      </c>
      <c r="O3" s="20" t="s">
        <v>32</v>
      </c>
      <c r="P3" s="20" t="s">
        <v>33</v>
      </c>
      <c r="Q3" s="20" t="s">
        <v>44</v>
      </c>
      <c r="R3" s="20" t="s">
        <v>34</v>
      </c>
      <c r="S3" s="55" t="s">
        <v>45</v>
      </c>
      <c r="T3" s="20" t="s">
        <v>91</v>
      </c>
      <c r="U3" s="20" t="s">
        <v>92</v>
      </c>
      <c r="V3" s="20" t="s">
        <v>93</v>
      </c>
      <c r="W3" s="20" t="s">
        <v>94</v>
      </c>
      <c r="X3" s="20" t="s">
        <v>95</v>
      </c>
      <c r="Y3" s="63" t="s">
        <v>948</v>
      </c>
      <c r="Z3" s="63" t="s">
        <v>947</v>
      </c>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row>
    <row r="4" spans="1:59" s="21" customFormat="1" ht="136.19999999999999" customHeight="1" x14ac:dyDescent="0.3">
      <c r="A4" s="21" t="s">
        <v>54</v>
      </c>
      <c r="B4" s="21" t="s">
        <v>55</v>
      </c>
      <c r="C4" s="21" t="s">
        <v>56</v>
      </c>
      <c r="D4" s="21" t="s">
        <v>57</v>
      </c>
      <c r="E4" s="21">
        <v>2026</v>
      </c>
      <c r="F4" s="21" t="s">
        <v>40</v>
      </c>
      <c r="G4" s="21">
        <v>16</v>
      </c>
      <c r="H4" s="21">
        <v>3</v>
      </c>
      <c r="I4" s="21">
        <v>1559</v>
      </c>
      <c r="L4" s="21">
        <v>0</v>
      </c>
      <c r="M4" s="21" t="s">
        <v>58</v>
      </c>
      <c r="N4" s="21" t="s">
        <v>59</v>
      </c>
      <c r="O4" s="21" t="s">
        <v>32</v>
      </c>
      <c r="P4" s="21" t="s">
        <v>33</v>
      </c>
      <c r="Q4" s="21" t="s">
        <v>44</v>
      </c>
      <c r="R4" s="21" t="s">
        <v>34</v>
      </c>
      <c r="S4" s="56" t="s">
        <v>60</v>
      </c>
      <c r="T4" s="21" t="s">
        <v>96</v>
      </c>
      <c r="U4" s="21" t="s">
        <v>97</v>
      </c>
      <c r="V4" s="21" t="s">
        <v>98</v>
      </c>
      <c r="W4" s="21" t="s">
        <v>99</v>
      </c>
      <c r="X4" s="21" t="s">
        <v>100</v>
      </c>
      <c r="Y4" s="66" t="s">
        <v>950</v>
      </c>
      <c r="Z4" s="66" t="s">
        <v>949</v>
      </c>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row>
    <row r="5" spans="1:59" s="20" customFormat="1" ht="100.2" customHeight="1" x14ac:dyDescent="0.3">
      <c r="A5" s="22" t="s">
        <v>69</v>
      </c>
      <c r="B5" s="22" t="s">
        <v>68</v>
      </c>
      <c r="C5" s="22" t="s">
        <v>67</v>
      </c>
      <c r="D5" s="22" t="s">
        <v>66</v>
      </c>
      <c r="E5" s="22">
        <v>2025</v>
      </c>
      <c r="F5" s="22" t="s">
        <v>65</v>
      </c>
      <c r="G5" s="22">
        <v>16</v>
      </c>
      <c r="H5" s="22">
        <v>5</v>
      </c>
      <c r="I5" s="22"/>
      <c r="J5" s="22">
        <v>173</v>
      </c>
      <c r="K5" s="22">
        <v>181</v>
      </c>
      <c r="L5" s="22">
        <v>0</v>
      </c>
      <c r="M5" s="22" t="s">
        <v>64</v>
      </c>
      <c r="N5" s="22" t="s">
        <v>63</v>
      </c>
      <c r="O5" s="22" t="s">
        <v>32</v>
      </c>
      <c r="P5" s="22" t="s">
        <v>33</v>
      </c>
      <c r="Q5" s="22" t="s">
        <v>61</v>
      </c>
      <c r="R5" s="22" t="s">
        <v>34</v>
      </c>
      <c r="S5" s="57" t="s">
        <v>62</v>
      </c>
      <c r="T5" s="22" t="s">
        <v>116</v>
      </c>
      <c r="U5" s="22" t="s">
        <v>117</v>
      </c>
      <c r="V5" s="22" t="s">
        <v>118</v>
      </c>
      <c r="W5" s="22" t="s">
        <v>119</v>
      </c>
      <c r="X5" s="22" t="s">
        <v>120</v>
      </c>
      <c r="Y5" s="67" t="s">
        <v>951</v>
      </c>
      <c r="Z5" s="67" t="s">
        <v>952</v>
      </c>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row>
    <row r="6" spans="1:59" s="20" customFormat="1" ht="162.6" customHeight="1" x14ac:dyDescent="0.3">
      <c r="A6" s="22" t="s">
        <v>46</v>
      </c>
      <c r="B6" s="22" t="s">
        <v>47</v>
      </c>
      <c r="C6" s="22" t="s">
        <v>48</v>
      </c>
      <c r="D6" s="22" t="s">
        <v>49</v>
      </c>
      <c r="E6" s="22">
        <v>2025</v>
      </c>
      <c r="F6" s="22" t="s">
        <v>50</v>
      </c>
      <c r="G6" s="22">
        <v>12</v>
      </c>
      <c r="H6" s="22">
        <v>1</v>
      </c>
      <c r="I6" s="22">
        <v>793</v>
      </c>
      <c r="J6" s="22"/>
      <c r="K6" s="22"/>
      <c r="L6" s="22">
        <v>7</v>
      </c>
      <c r="M6" s="22" t="s">
        <v>51</v>
      </c>
      <c r="N6" s="22" t="s">
        <v>52</v>
      </c>
      <c r="O6" s="22" t="s">
        <v>32</v>
      </c>
      <c r="P6" s="22" t="s">
        <v>33</v>
      </c>
      <c r="Q6" s="22" t="s">
        <v>44</v>
      </c>
      <c r="R6" s="22" t="s">
        <v>34</v>
      </c>
      <c r="S6" s="57" t="s">
        <v>53</v>
      </c>
      <c r="T6" s="22" t="s">
        <v>101</v>
      </c>
      <c r="U6" s="22" t="s">
        <v>102</v>
      </c>
      <c r="V6" s="22" t="s">
        <v>103</v>
      </c>
      <c r="W6" s="22" t="s">
        <v>104</v>
      </c>
      <c r="X6" s="22" t="s">
        <v>105</v>
      </c>
      <c r="Y6" s="67" t="s">
        <v>953</v>
      </c>
      <c r="Z6" s="67" t="s">
        <v>954</v>
      </c>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row>
    <row r="7" spans="1:59" s="23" customFormat="1" ht="102.6" customHeight="1" x14ac:dyDescent="0.3">
      <c r="A7" s="23" t="s">
        <v>78</v>
      </c>
      <c r="B7" s="23" t="s">
        <v>77</v>
      </c>
      <c r="C7" s="23" t="s">
        <v>76</v>
      </c>
      <c r="D7" s="23" t="s">
        <v>75</v>
      </c>
      <c r="E7" s="23">
        <v>2025</v>
      </c>
      <c r="F7" s="24" t="s">
        <v>74</v>
      </c>
      <c r="L7" s="23">
        <v>0</v>
      </c>
      <c r="M7" s="23" t="s">
        <v>73</v>
      </c>
      <c r="N7" s="23" t="s">
        <v>72</v>
      </c>
      <c r="O7" s="23" t="s">
        <v>70</v>
      </c>
      <c r="P7" s="23" t="s">
        <v>33</v>
      </c>
      <c r="R7" s="23" t="s">
        <v>34</v>
      </c>
      <c r="S7" s="58" t="s">
        <v>71</v>
      </c>
      <c r="T7" s="24" t="s">
        <v>106</v>
      </c>
      <c r="U7" s="24" t="s">
        <v>107</v>
      </c>
      <c r="V7" s="23" t="s">
        <v>108</v>
      </c>
      <c r="W7" s="24" t="s">
        <v>109</v>
      </c>
      <c r="X7" s="24" t="s">
        <v>110</v>
      </c>
      <c r="Y7" s="68" t="s">
        <v>955</v>
      </c>
      <c r="Z7" s="68" t="s">
        <v>956</v>
      </c>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row>
    <row r="8" spans="1:59" s="23" customFormat="1" ht="85.8" customHeight="1" x14ac:dyDescent="0.3">
      <c r="A8" s="53" t="s">
        <v>79</v>
      </c>
      <c r="B8" s="53" t="s">
        <v>80</v>
      </c>
      <c r="C8" s="53" t="s">
        <v>81</v>
      </c>
      <c r="D8" s="53" t="s">
        <v>82</v>
      </c>
      <c r="E8" s="53">
        <v>2024</v>
      </c>
      <c r="F8" s="53" t="s">
        <v>83</v>
      </c>
      <c r="G8" s="53">
        <v>16</v>
      </c>
      <c r="H8" s="53">
        <v>2</v>
      </c>
      <c r="I8" s="53">
        <v>877</v>
      </c>
      <c r="J8" s="53"/>
      <c r="K8" s="53"/>
      <c r="L8" s="53">
        <v>9</v>
      </c>
      <c r="M8" s="53" t="s">
        <v>84</v>
      </c>
      <c r="N8" s="53" t="s">
        <v>85</v>
      </c>
      <c r="O8" s="53" t="s">
        <v>32</v>
      </c>
      <c r="P8" s="53" t="s">
        <v>33</v>
      </c>
      <c r="Q8" s="53" t="s">
        <v>44</v>
      </c>
      <c r="R8" s="53" t="s">
        <v>34</v>
      </c>
      <c r="S8" s="59" t="s">
        <v>86</v>
      </c>
      <c r="T8" s="24" t="s">
        <v>111</v>
      </c>
      <c r="U8" s="24" t="s">
        <v>112</v>
      </c>
      <c r="V8" s="24" t="s">
        <v>113</v>
      </c>
      <c r="W8" s="24" t="s">
        <v>114</v>
      </c>
      <c r="X8" s="24" t="s">
        <v>115</v>
      </c>
      <c r="Y8" s="68" t="s">
        <v>957</v>
      </c>
      <c r="Z8" s="68" t="s">
        <v>958</v>
      </c>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row>
    <row r="9" spans="1:59" customFormat="1" ht="86.4" x14ac:dyDescent="0.3">
      <c r="A9" s="32" t="s">
        <v>622</v>
      </c>
      <c r="B9" s="32" t="s">
        <v>623</v>
      </c>
      <c r="C9" s="32" t="s">
        <v>624</v>
      </c>
      <c r="D9" s="32" t="s">
        <v>625</v>
      </c>
      <c r="E9" s="32">
        <v>2024</v>
      </c>
      <c r="F9" s="32" t="s">
        <v>626</v>
      </c>
      <c r="G9" s="32"/>
      <c r="H9" s="32"/>
      <c r="I9" s="32"/>
      <c r="J9" s="32"/>
      <c r="K9" s="32"/>
      <c r="L9" s="32">
        <v>0</v>
      </c>
      <c r="M9" s="32" t="s">
        <v>627</v>
      </c>
      <c r="N9" s="33" t="s">
        <v>628</v>
      </c>
      <c r="O9" s="32" t="s">
        <v>70</v>
      </c>
      <c r="P9" s="32" t="s">
        <v>33</v>
      </c>
      <c r="Q9" s="32"/>
      <c r="R9" s="32" t="s">
        <v>34</v>
      </c>
      <c r="S9" s="32" t="s">
        <v>629</v>
      </c>
      <c r="T9" s="62" t="s">
        <v>935</v>
      </c>
      <c r="U9" s="62" t="s">
        <v>938</v>
      </c>
      <c r="V9" s="62" t="s">
        <v>939</v>
      </c>
      <c r="W9" s="62" t="s">
        <v>936</v>
      </c>
      <c r="X9" s="62" t="s">
        <v>937</v>
      </c>
      <c r="Y9" s="52" t="s">
        <v>943</v>
      </c>
      <c r="Z9" s="52" t="s">
        <v>944</v>
      </c>
    </row>
    <row r="10" spans="1:59"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row>
    <row r="11" spans="1:59" x14ac:dyDescent="0.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row>
    <row r="12" spans="1:59" x14ac:dyDescent="0.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row>
    <row r="13" spans="1:59" x14ac:dyDescent="0.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row>
    <row r="14" spans="1:59" x14ac:dyDescent="0.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row>
    <row r="15" spans="1:59" x14ac:dyDescent="0.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row>
    <row r="16" spans="1:59" x14ac:dyDescent="0.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row>
  </sheetData>
  <hyperlinks>
    <hyperlink ref="N9" r:id="rId1" xr:uid="{508B5192-12E5-4A1C-B5BC-490EFFEC7FA5}"/>
  </hyperlinks>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1FBF-4E6B-4B06-9601-9DEF8FE828CB}">
  <sheetPr>
    <tabColor theme="3"/>
  </sheetPr>
  <dimension ref="A1:AI107"/>
  <sheetViews>
    <sheetView topLeftCell="L1" zoomScaleNormal="100" workbookViewId="0">
      <pane ySplit="1" topLeftCell="A87" activePane="bottomLeft" state="frozen"/>
      <selection activeCell="L1" sqref="L1"/>
      <selection pane="bottomLeft" activeCell="X3" sqref="X3"/>
    </sheetView>
  </sheetViews>
  <sheetFormatPr defaultRowHeight="14.4" x14ac:dyDescent="0.3"/>
  <cols>
    <col min="2" max="2" width="28.88671875" customWidth="1"/>
    <col min="3" max="3" width="17.21875" customWidth="1"/>
    <col min="4" max="4" width="24.5546875" customWidth="1"/>
    <col min="6" max="6" width="14.5546875" customWidth="1"/>
    <col min="15" max="15" width="8.88671875" customWidth="1"/>
    <col min="19" max="19" width="20.6640625" customWidth="1"/>
    <col min="20" max="20" width="16.44140625" customWidth="1"/>
    <col min="21" max="21" width="22.109375" customWidth="1"/>
    <col min="22" max="22" width="17.77734375" customWidth="1"/>
    <col min="23" max="23" width="15.33203125" customWidth="1"/>
    <col min="24" max="24" width="13.21875" customWidth="1"/>
  </cols>
  <sheetData>
    <row r="1" spans="1:35" s="3" customFormat="1" ht="24.6" customHeight="1"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65" t="s">
        <v>919</v>
      </c>
      <c r="U1" s="65" t="s">
        <v>920</v>
      </c>
      <c r="V1" s="65" t="s">
        <v>921</v>
      </c>
      <c r="W1" s="65" t="s">
        <v>922</v>
      </c>
      <c r="X1" s="6" t="s">
        <v>918</v>
      </c>
      <c r="Y1" s="4"/>
      <c r="Z1" s="4"/>
      <c r="AA1" s="4"/>
      <c r="AB1" s="4"/>
      <c r="AC1" s="4"/>
      <c r="AD1" s="4"/>
      <c r="AE1" s="4"/>
      <c r="AF1" s="4"/>
      <c r="AG1" s="4"/>
      <c r="AH1" s="4"/>
      <c r="AI1" s="4"/>
    </row>
    <row r="2" spans="1:35" ht="41.4" customHeight="1" x14ac:dyDescent="0.3">
      <c r="A2" s="27" t="s">
        <v>24</v>
      </c>
      <c r="B2" s="28" t="s">
        <v>25</v>
      </c>
      <c r="C2" s="27" t="s">
        <v>26</v>
      </c>
      <c r="D2" s="27" t="s">
        <v>27</v>
      </c>
      <c r="E2" s="27">
        <v>2024</v>
      </c>
      <c r="F2" s="27" t="s">
        <v>28</v>
      </c>
      <c r="G2" s="27">
        <v>250</v>
      </c>
      <c r="H2" s="28"/>
      <c r="I2" s="27">
        <v>123944</v>
      </c>
      <c r="J2" s="28"/>
      <c r="K2" s="28"/>
      <c r="L2" s="27">
        <v>29</v>
      </c>
      <c r="M2" s="27" t="s">
        <v>30</v>
      </c>
      <c r="N2" s="27" t="s">
        <v>31</v>
      </c>
      <c r="O2" s="27" t="s">
        <v>32</v>
      </c>
      <c r="P2" s="27" t="s">
        <v>33</v>
      </c>
      <c r="Q2" s="28"/>
      <c r="R2" s="27" t="s">
        <v>34</v>
      </c>
      <c r="S2" s="27" t="s">
        <v>35</v>
      </c>
      <c r="T2" s="28">
        <v>1</v>
      </c>
      <c r="U2" s="28">
        <v>1</v>
      </c>
      <c r="V2" s="28">
        <v>0.5</v>
      </c>
      <c r="W2" s="28">
        <v>1</v>
      </c>
      <c r="X2" s="7">
        <v>3.5</v>
      </c>
    </row>
    <row r="3" spans="1:35" x14ac:dyDescent="0.3">
      <c r="A3" s="8" t="s">
        <v>178</v>
      </c>
      <c r="B3" s="8" t="s">
        <v>177</v>
      </c>
      <c r="C3" s="8" t="s">
        <v>176</v>
      </c>
      <c r="D3" s="8" t="s">
        <v>175</v>
      </c>
      <c r="E3" s="8">
        <v>2025</v>
      </c>
      <c r="F3" s="8" t="s">
        <v>124</v>
      </c>
      <c r="G3" s="8">
        <v>25</v>
      </c>
      <c r="H3" s="8">
        <v>13</v>
      </c>
      <c r="I3" s="8">
        <v>3992</v>
      </c>
      <c r="J3" s="8"/>
      <c r="K3" s="8"/>
      <c r="L3" s="8">
        <v>7</v>
      </c>
      <c r="M3" s="8" t="s">
        <v>174</v>
      </c>
      <c r="N3" s="9" t="s">
        <v>173</v>
      </c>
      <c r="O3" s="8" t="s">
        <v>32</v>
      </c>
      <c r="P3" s="8" t="s">
        <v>33</v>
      </c>
      <c r="Q3" s="8" t="s">
        <v>44</v>
      </c>
      <c r="R3" s="8" t="s">
        <v>34</v>
      </c>
      <c r="S3" s="8" t="s">
        <v>172</v>
      </c>
      <c r="T3" s="10">
        <v>0.5</v>
      </c>
      <c r="U3" s="10">
        <v>0.5</v>
      </c>
      <c r="V3" s="10">
        <v>0.5</v>
      </c>
      <c r="W3" s="10">
        <v>0.5</v>
      </c>
      <c r="X3" s="10">
        <v>2</v>
      </c>
    </row>
    <row r="4" spans="1:35" x14ac:dyDescent="0.3">
      <c r="A4" s="8" t="s">
        <v>54</v>
      </c>
      <c r="B4" s="8" t="s">
        <v>55</v>
      </c>
      <c r="C4" s="8" t="s">
        <v>56</v>
      </c>
      <c r="D4" s="8" t="s">
        <v>57</v>
      </c>
      <c r="E4" s="8">
        <v>2026</v>
      </c>
      <c r="F4" s="8" t="s">
        <v>40</v>
      </c>
      <c r="G4" s="8">
        <v>16</v>
      </c>
      <c r="H4" s="8">
        <v>3</v>
      </c>
      <c r="I4" s="8">
        <v>1559</v>
      </c>
      <c r="J4" s="8"/>
      <c r="K4" s="8"/>
      <c r="L4" s="8">
        <v>0</v>
      </c>
      <c r="M4" s="8" t="s">
        <v>58</v>
      </c>
      <c r="N4" s="9" t="s">
        <v>171</v>
      </c>
      <c r="O4" s="8" t="s">
        <v>32</v>
      </c>
      <c r="P4" s="8" t="s">
        <v>33</v>
      </c>
      <c r="Q4" s="8" t="s">
        <v>44</v>
      </c>
      <c r="R4" s="8" t="s">
        <v>34</v>
      </c>
      <c r="S4" s="8" t="s">
        <v>60</v>
      </c>
      <c r="T4" s="10">
        <v>1</v>
      </c>
      <c r="U4" s="10">
        <v>0.5</v>
      </c>
      <c r="V4" s="10">
        <v>0.5</v>
      </c>
      <c r="W4" s="10">
        <v>0.5</v>
      </c>
      <c r="X4" s="10">
        <v>2.5</v>
      </c>
    </row>
    <row r="5" spans="1:35" ht="15" customHeight="1" x14ac:dyDescent="0.3">
      <c r="A5" s="8" t="s">
        <v>170</v>
      </c>
      <c r="B5" s="8" t="s">
        <v>169</v>
      </c>
      <c r="C5" s="8">
        <v>57192894122</v>
      </c>
      <c r="D5" s="8" t="s">
        <v>168</v>
      </c>
      <c r="E5" s="8">
        <v>2026</v>
      </c>
      <c r="F5" s="8" t="s">
        <v>167</v>
      </c>
      <c r="G5" s="8">
        <v>10</v>
      </c>
      <c r="H5" s="8"/>
      <c r="I5" s="8">
        <v>12</v>
      </c>
      <c r="J5" s="8"/>
      <c r="K5" s="8"/>
      <c r="L5" s="8">
        <v>0</v>
      </c>
      <c r="M5" s="8" t="s">
        <v>166</v>
      </c>
      <c r="N5" s="9" t="s">
        <v>165</v>
      </c>
      <c r="O5" s="8" t="s">
        <v>32</v>
      </c>
      <c r="P5" s="8" t="s">
        <v>33</v>
      </c>
      <c r="Q5" s="8" t="s">
        <v>44</v>
      </c>
      <c r="R5" s="8" t="s">
        <v>34</v>
      </c>
      <c r="S5" s="8" t="s">
        <v>164</v>
      </c>
      <c r="T5" s="10">
        <v>0.5</v>
      </c>
      <c r="U5" s="10">
        <v>0.5</v>
      </c>
      <c r="V5" s="10">
        <v>0</v>
      </c>
      <c r="W5" s="10">
        <v>0</v>
      </c>
      <c r="X5" s="10">
        <v>1</v>
      </c>
    </row>
    <row r="6" spans="1:35" x14ac:dyDescent="0.3">
      <c r="A6" s="14" t="s">
        <v>163</v>
      </c>
      <c r="B6" s="14" t="s">
        <v>162</v>
      </c>
      <c r="C6" s="14" t="s">
        <v>161</v>
      </c>
      <c r="D6" s="14" t="s">
        <v>160</v>
      </c>
      <c r="E6" s="14">
        <v>2026</v>
      </c>
      <c r="F6" s="14" t="s">
        <v>159</v>
      </c>
      <c r="G6" s="14">
        <v>18</v>
      </c>
      <c r="H6" s="14">
        <v>4</v>
      </c>
      <c r="I6" s="14"/>
      <c r="J6" s="14" t="s">
        <v>158</v>
      </c>
      <c r="K6" s="14" t="s">
        <v>157</v>
      </c>
      <c r="L6" s="14">
        <v>0</v>
      </c>
      <c r="M6" s="14" t="s">
        <v>156</v>
      </c>
      <c r="N6" s="15" t="s">
        <v>155</v>
      </c>
      <c r="O6" s="14" t="s">
        <v>32</v>
      </c>
      <c r="P6" s="14" t="s">
        <v>33</v>
      </c>
      <c r="Q6" s="14"/>
      <c r="R6" s="14" t="s">
        <v>34</v>
      </c>
      <c r="S6" s="14" t="s">
        <v>154</v>
      </c>
      <c r="T6" s="10">
        <v>0.5</v>
      </c>
      <c r="U6" s="10">
        <v>0.5</v>
      </c>
      <c r="V6" s="10">
        <v>0.5</v>
      </c>
      <c r="W6" s="10">
        <v>0.5</v>
      </c>
      <c r="X6" s="10">
        <v>2</v>
      </c>
    </row>
    <row r="7" spans="1:35" x14ac:dyDescent="0.3">
      <c r="A7" s="28" t="s">
        <v>36</v>
      </c>
      <c r="B7" s="28" t="s">
        <v>37</v>
      </c>
      <c r="C7" s="28" t="s">
        <v>38</v>
      </c>
      <c r="D7" s="28" t="s">
        <v>39</v>
      </c>
      <c r="E7" s="28">
        <v>2024</v>
      </c>
      <c r="F7" s="28" t="s">
        <v>40</v>
      </c>
      <c r="G7" s="28">
        <v>14</v>
      </c>
      <c r="H7" s="28">
        <v>8</v>
      </c>
      <c r="I7" s="28" t="s">
        <v>41</v>
      </c>
      <c r="J7" s="28"/>
      <c r="K7" s="28"/>
      <c r="L7" s="28">
        <v>8</v>
      </c>
      <c r="M7" s="28" t="s">
        <v>42</v>
      </c>
      <c r="N7" s="28" t="s">
        <v>43</v>
      </c>
      <c r="O7" s="28" t="s">
        <v>32</v>
      </c>
      <c r="P7" s="28" t="s">
        <v>33</v>
      </c>
      <c r="Q7" s="28" t="s">
        <v>44</v>
      </c>
      <c r="R7" s="28" t="s">
        <v>34</v>
      </c>
      <c r="S7" s="28" t="s">
        <v>45</v>
      </c>
      <c r="T7" s="29">
        <v>1</v>
      </c>
      <c r="U7" s="28">
        <v>1</v>
      </c>
      <c r="V7" s="28">
        <v>1</v>
      </c>
      <c r="W7" s="28">
        <v>1</v>
      </c>
      <c r="X7" s="7">
        <v>4</v>
      </c>
    </row>
    <row r="8" spans="1:35" x14ac:dyDescent="0.3">
      <c r="A8" s="16" t="s">
        <v>137</v>
      </c>
      <c r="B8" s="16" t="s">
        <v>136</v>
      </c>
      <c r="C8" s="16" t="s">
        <v>135</v>
      </c>
      <c r="D8" s="16" t="s">
        <v>134</v>
      </c>
      <c r="E8" s="16">
        <v>2025</v>
      </c>
      <c r="F8" s="16" t="s">
        <v>133</v>
      </c>
      <c r="G8" s="16">
        <v>13</v>
      </c>
      <c r="H8" s="16">
        <v>11</v>
      </c>
      <c r="I8" s="16">
        <v>514</v>
      </c>
      <c r="J8" s="16"/>
      <c r="K8" s="16"/>
      <c r="L8" s="16">
        <v>0</v>
      </c>
      <c r="M8" s="16" t="s">
        <v>132</v>
      </c>
      <c r="N8" s="17" t="s">
        <v>131</v>
      </c>
      <c r="O8" s="16" t="s">
        <v>32</v>
      </c>
      <c r="P8" s="16" t="s">
        <v>33</v>
      </c>
      <c r="Q8" s="16" t="s">
        <v>44</v>
      </c>
      <c r="R8" s="16" t="s">
        <v>34</v>
      </c>
      <c r="S8" s="16" t="s">
        <v>130</v>
      </c>
      <c r="T8" s="10">
        <v>0.5</v>
      </c>
      <c r="U8" s="10">
        <v>0.5</v>
      </c>
      <c r="V8" s="10">
        <v>0.5</v>
      </c>
      <c r="W8" s="10">
        <v>0.5</v>
      </c>
      <c r="X8" s="10">
        <v>2</v>
      </c>
    </row>
    <row r="9" spans="1:35" x14ac:dyDescent="0.3">
      <c r="A9" s="13" t="s">
        <v>46</v>
      </c>
      <c r="B9" s="13" t="s">
        <v>47</v>
      </c>
      <c r="C9" s="13" t="s">
        <v>48</v>
      </c>
      <c r="D9" s="13" t="s">
        <v>49</v>
      </c>
      <c r="E9" s="13">
        <v>2025</v>
      </c>
      <c r="F9" s="13" t="s">
        <v>50</v>
      </c>
      <c r="G9" s="13">
        <v>12</v>
      </c>
      <c r="H9" s="13">
        <v>1</v>
      </c>
      <c r="I9" s="13">
        <v>793</v>
      </c>
      <c r="J9" s="13"/>
      <c r="K9" s="13"/>
      <c r="L9" s="13">
        <v>9</v>
      </c>
      <c r="M9" s="13" t="s">
        <v>51</v>
      </c>
      <c r="N9" s="25" t="s">
        <v>129</v>
      </c>
      <c r="O9" s="13" t="s">
        <v>32</v>
      </c>
      <c r="P9" s="13" t="s">
        <v>33</v>
      </c>
      <c r="Q9" s="13" t="s">
        <v>44</v>
      </c>
      <c r="R9" s="13" t="s">
        <v>34</v>
      </c>
      <c r="S9" s="13" t="s">
        <v>53</v>
      </c>
      <c r="T9" s="10">
        <v>0.5</v>
      </c>
      <c r="U9" s="10">
        <v>0.5</v>
      </c>
      <c r="V9" s="10">
        <v>1</v>
      </c>
      <c r="W9" s="10">
        <v>0.5</v>
      </c>
      <c r="X9" s="10">
        <v>2.5</v>
      </c>
    </row>
    <row r="10" spans="1:35" x14ac:dyDescent="0.3">
      <c r="A10" s="13" t="s">
        <v>128</v>
      </c>
      <c r="B10" s="13" t="s">
        <v>127</v>
      </c>
      <c r="C10" s="13" t="s">
        <v>126</v>
      </c>
      <c r="D10" s="13" t="s">
        <v>125</v>
      </c>
      <c r="E10" s="13">
        <v>2025</v>
      </c>
      <c r="F10" s="13" t="s">
        <v>124</v>
      </c>
      <c r="G10" s="13">
        <v>25</v>
      </c>
      <c r="H10" s="13">
        <v>13</v>
      </c>
      <c r="I10" s="13">
        <v>4180</v>
      </c>
      <c r="J10" s="13"/>
      <c r="K10" s="13"/>
      <c r="L10" s="13">
        <v>0</v>
      </c>
      <c r="M10" s="13" t="s">
        <v>123</v>
      </c>
      <c r="N10" s="25" t="s">
        <v>122</v>
      </c>
      <c r="O10" s="13" t="s">
        <v>32</v>
      </c>
      <c r="P10" s="13" t="s">
        <v>33</v>
      </c>
      <c r="Q10" s="13" t="s">
        <v>44</v>
      </c>
      <c r="R10" s="13" t="s">
        <v>34</v>
      </c>
      <c r="S10" s="13" t="s">
        <v>121</v>
      </c>
      <c r="T10" s="10">
        <v>0.5</v>
      </c>
      <c r="U10" s="10">
        <v>0.5</v>
      </c>
      <c r="V10" s="10">
        <v>0.5</v>
      </c>
      <c r="W10" s="10">
        <v>0.5</v>
      </c>
      <c r="X10" s="10">
        <v>2</v>
      </c>
    </row>
    <row r="11" spans="1:35" x14ac:dyDescent="0.3">
      <c r="A11" s="28" t="s">
        <v>54</v>
      </c>
      <c r="B11" s="28" t="s">
        <v>55</v>
      </c>
      <c r="C11" s="28" t="s">
        <v>56</v>
      </c>
      <c r="D11" s="28" t="s">
        <v>57</v>
      </c>
      <c r="E11" s="28">
        <v>2026</v>
      </c>
      <c r="F11" s="28" t="s">
        <v>40</v>
      </c>
      <c r="G11" s="28">
        <v>16</v>
      </c>
      <c r="H11" s="28">
        <v>3</v>
      </c>
      <c r="I11" s="28">
        <v>1559</v>
      </c>
      <c r="J11" s="28"/>
      <c r="K11" s="28"/>
      <c r="L11" s="28">
        <v>0</v>
      </c>
      <c r="M11" s="28" t="s">
        <v>58</v>
      </c>
      <c r="N11" s="28" t="s">
        <v>59</v>
      </c>
      <c r="O11" s="28" t="s">
        <v>32</v>
      </c>
      <c r="P11" s="28" t="s">
        <v>33</v>
      </c>
      <c r="Q11" s="28" t="s">
        <v>44</v>
      </c>
      <c r="R11" s="28" t="s">
        <v>34</v>
      </c>
      <c r="S11" s="28" t="s">
        <v>60</v>
      </c>
      <c r="T11" s="28">
        <v>1</v>
      </c>
      <c r="U11" s="28">
        <v>1</v>
      </c>
      <c r="V11" s="28">
        <v>1</v>
      </c>
      <c r="W11" s="28">
        <v>1</v>
      </c>
      <c r="X11" s="7">
        <v>4</v>
      </c>
    </row>
    <row r="12" spans="1:35" x14ac:dyDescent="0.3">
      <c r="A12" s="13" t="s">
        <v>187</v>
      </c>
      <c r="B12" s="13" t="s">
        <v>188</v>
      </c>
      <c r="C12" s="13" t="s">
        <v>189</v>
      </c>
      <c r="D12" s="13" t="s">
        <v>190</v>
      </c>
      <c r="E12" s="13">
        <v>2025</v>
      </c>
      <c r="F12" s="13" t="s">
        <v>124</v>
      </c>
      <c r="G12" s="13">
        <v>25</v>
      </c>
      <c r="H12" s="13">
        <v>15</v>
      </c>
      <c r="I12" s="13">
        <v>4744</v>
      </c>
      <c r="J12" s="13"/>
      <c r="K12" s="13"/>
      <c r="L12" s="13">
        <v>2</v>
      </c>
      <c r="M12" s="13" t="s">
        <v>191</v>
      </c>
      <c r="N12" s="25" t="s">
        <v>192</v>
      </c>
      <c r="O12" s="13" t="s">
        <v>32</v>
      </c>
      <c r="P12" s="13" t="s">
        <v>33</v>
      </c>
      <c r="Q12" s="13" t="s">
        <v>44</v>
      </c>
      <c r="R12" s="13" t="s">
        <v>34</v>
      </c>
      <c r="S12" s="13" t="s">
        <v>193</v>
      </c>
      <c r="T12" s="10">
        <v>0.5</v>
      </c>
      <c r="U12" s="10">
        <v>0.5</v>
      </c>
      <c r="V12" s="10">
        <v>0.5</v>
      </c>
      <c r="W12" s="10">
        <v>0.5</v>
      </c>
      <c r="X12" s="10">
        <v>2</v>
      </c>
    </row>
    <row r="13" spans="1:35" x14ac:dyDescent="0.3">
      <c r="A13" s="13" t="s">
        <v>194</v>
      </c>
      <c r="B13" s="13" t="s">
        <v>195</v>
      </c>
      <c r="C13" s="13" t="s">
        <v>196</v>
      </c>
      <c r="D13" s="13" t="s">
        <v>197</v>
      </c>
      <c r="E13" s="13">
        <v>2022</v>
      </c>
      <c r="F13" s="13" t="s">
        <v>198</v>
      </c>
      <c r="G13" s="13">
        <v>22</v>
      </c>
      <c r="H13" s="13">
        <v>3</v>
      </c>
      <c r="I13" s="13"/>
      <c r="J13" s="13">
        <v>610</v>
      </c>
      <c r="K13" s="13">
        <v>622</v>
      </c>
      <c r="L13" s="13">
        <v>2</v>
      </c>
      <c r="M13" s="13" t="s">
        <v>199</v>
      </c>
      <c r="N13" s="25" t="s">
        <v>200</v>
      </c>
      <c r="O13" s="13" t="s">
        <v>32</v>
      </c>
      <c r="P13" s="13" t="s">
        <v>33</v>
      </c>
      <c r="Q13" s="13" t="s">
        <v>44</v>
      </c>
      <c r="R13" s="13" t="s">
        <v>34</v>
      </c>
      <c r="S13" s="13" t="s">
        <v>201</v>
      </c>
      <c r="T13" s="10">
        <v>0.5</v>
      </c>
      <c r="U13" s="10">
        <v>0.5</v>
      </c>
      <c r="V13" s="10">
        <v>0.5</v>
      </c>
      <c r="W13" s="10">
        <v>0.5</v>
      </c>
      <c r="X13" s="10">
        <v>2</v>
      </c>
    </row>
    <row r="14" spans="1:35" x14ac:dyDescent="0.3">
      <c r="A14" s="28" t="s">
        <v>69</v>
      </c>
      <c r="B14" s="28" t="s">
        <v>68</v>
      </c>
      <c r="C14" s="28" t="s">
        <v>67</v>
      </c>
      <c r="D14" s="28" t="s">
        <v>66</v>
      </c>
      <c r="E14" s="28">
        <v>2025</v>
      </c>
      <c r="F14" s="28" t="s">
        <v>65</v>
      </c>
      <c r="G14" s="28">
        <v>16</v>
      </c>
      <c r="H14" s="28">
        <v>5</v>
      </c>
      <c r="I14" s="28"/>
      <c r="J14" s="28">
        <v>173</v>
      </c>
      <c r="K14" s="28">
        <v>181</v>
      </c>
      <c r="L14" s="28">
        <v>0</v>
      </c>
      <c r="M14" s="28" t="s">
        <v>64</v>
      </c>
      <c r="N14" s="28" t="s">
        <v>63</v>
      </c>
      <c r="O14" s="28" t="s">
        <v>32</v>
      </c>
      <c r="P14" s="28" t="s">
        <v>33</v>
      </c>
      <c r="Q14" s="28" t="s">
        <v>61</v>
      </c>
      <c r="R14" s="28" t="s">
        <v>34</v>
      </c>
      <c r="S14" s="28" t="s">
        <v>62</v>
      </c>
      <c r="T14" s="28">
        <v>1</v>
      </c>
      <c r="U14" s="28">
        <v>1</v>
      </c>
      <c r="V14" s="28">
        <v>1</v>
      </c>
      <c r="W14" s="28">
        <v>0.5</v>
      </c>
      <c r="X14" s="7">
        <v>3.5</v>
      </c>
    </row>
    <row r="15" spans="1:35" x14ac:dyDescent="0.3">
      <c r="A15" s="13" t="s">
        <v>210</v>
      </c>
      <c r="B15" s="13" t="s">
        <v>211</v>
      </c>
      <c r="C15" s="13" t="s">
        <v>212</v>
      </c>
      <c r="D15" s="13" t="s">
        <v>213</v>
      </c>
      <c r="E15" s="13">
        <v>2022</v>
      </c>
      <c r="F15" s="13" t="s">
        <v>124</v>
      </c>
      <c r="G15" s="13">
        <v>22</v>
      </c>
      <c r="H15" s="13">
        <v>17</v>
      </c>
      <c r="I15" s="13">
        <v>6491</v>
      </c>
      <c r="J15" s="13"/>
      <c r="K15" s="13"/>
      <c r="L15" s="13">
        <v>28</v>
      </c>
      <c r="M15" s="13" t="s">
        <v>214</v>
      </c>
      <c r="N15" s="25" t="s">
        <v>215</v>
      </c>
      <c r="O15" s="13" t="s">
        <v>32</v>
      </c>
      <c r="P15" s="13" t="s">
        <v>33</v>
      </c>
      <c r="Q15" s="13" t="s">
        <v>44</v>
      </c>
      <c r="R15" s="13" t="s">
        <v>34</v>
      </c>
      <c r="S15" s="13" t="s">
        <v>216</v>
      </c>
      <c r="T15" s="10">
        <v>0.5</v>
      </c>
      <c r="U15" s="10">
        <v>0.5</v>
      </c>
      <c r="V15" s="10">
        <v>0.5</v>
      </c>
      <c r="W15" s="10">
        <v>0.5</v>
      </c>
      <c r="X15" s="10">
        <v>2</v>
      </c>
    </row>
    <row r="16" spans="1:35" x14ac:dyDescent="0.3">
      <c r="A16" s="13" t="s">
        <v>217</v>
      </c>
      <c r="B16" s="13" t="s">
        <v>218</v>
      </c>
      <c r="C16" s="13" t="s">
        <v>219</v>
      </c>
      <c r="D16" s="13" t="s">
        <v>220</v>
      </c>
      <c r="E16" s="13">
        <v>2021</v>
      </c>
      <c r="F16" s="13" t="s">
        <v>40</v>
      </c>
      <c r="G16" s="13">
        <v>11</v>
      </c>
      <c r="H16" s="13">
        <v>11</v>
      </c>
      <c r="I16" s="13">
        <v>4874</v>
      </c>
      <c r="J16" s="13"/>
      <c r="K16" s="13"/>
      <c r="L16" s="13">
        <v>17</v>
      </c>
      <c r="M16" s="13" t="s">
        <v>221</v>
      </c>
      <c r="N16" s="25" t="s">
        <v>222</v>
      </c>
      <c r="O16" s="13" t="s">
        <v>32</v>
      </c>
      <c r="P16" s="13" t="s">
        <v>33</v>
      </c>
      <c r="Q16" s="13" t="s">
        <v>44</v>
      </c>
      <c r="R16" s="13" t="s">
        <v>34</v>
      </c>
      <c r="S16" s="13" t="s">
        <v>223</v>
      </c>
      <c r="T16" s="10">
        <v>0.5</v>
      </c>
      <c r="U16" s="10">
        <v>0.5</v>
      </c>
      <c r="V16" s="10">
        <v>0.5</v>
      </c>
      <c r="W16" s="10">
        <v>0.5</v>
      </c>
      <c r="X16" s="10">
        <v>2</v>
      </c>
    </row>
    <row r="17" spans="1:24" x14ac:dyDescent="0.3">
      <c r="A17" s="13" t="s">
        <v>224</v>
      </c>
      <c r="B17" s="13" t="s">
        <v>225</v>
      </c>
      <c r="C17" s="13" t="s">
        <v>226</v>
      </c>
      <c r="D17" s="13" t="s">
        <v>227</v>
      </c>
      <c r="E17" s="13">
        <v>2023</v>
      </c>
      <c r="F17" s="13" t="s">
        <v>228</v>
      </c>
      <c r="G17" s="13" t="s">
        <v>229</v>
      </c>
      <c r="H17" s="13"/>
      <c r="I17" s="13"/>
      <c r="J17" s="13">
        <v>2382</v>
      </c>
      <c r="K17" s="13">
        <v>2385</v>
      </c>
      <c r="L17" s="13">
        <v>1</v>
      </c>
      <c r="M17" s="13" t="s">
        <v>230</v>
      </c>
      <c r="N17" s="25" t="s">
        <v>231</v>
      </c>
      <c r="O17" s="13" t="s">
        <v>70</v>
      </c>
      <c r="P17" s="13" t="s">
        <v>33</v>
      </c>
      <c r="Q17" s="13"/>
      <c r="R17" s="13" t="s">
        <v>34</v>
      </c>
      <c r="S17" s="13" t="s">
        <v>232</v>
      </c>
      <c r="T17" s="10">
        <v>0.5</v>
      </c>
      <c r="U17" s="10">
        <v>0.5</v>
      </c>
      <c r="V17" s="10">
        <v>0.5</v>
      </c>
      <c r="W17" s="10">
        <v>0.5</v>
      </c>
      <c r="X17" s="10">
        <v>2</v>
      </c>
    </row>
    <row r="18" spans="1:24" x14ac:dyDescent="0.3">
      <c r="A18" s="13" t="s">
        <v>79</v>
      </c>
      <c r="B18" s="13" t="s">
        <v>80</v>
      </c>
      <c r="C18" s="13" t="s">
        <v>81</v>
      </c>
      <c r="D18" s="13" t="s">
        <v>82</v>
      </c>
      <c r="E18" s="13">
        <v>2024</v>
      </c>
      <c r="F18" s="13" t="s">
        <v>83</v>
      </c>
      <c r="G18" s="13">
        <v>16</v>
      </c>
      <c r="H18" s="13">
        <v>2</v>
      </c>
      <c r="I18" s="13">
        <v>877</v>
      </c>
      <c r="J18" s="13"/>
      <c r="K18" s="13"/>
      <c r="L18" s="13">
        <v>10</v>
      </c>
      <c r="M18" s="13" t="s">
        <v>84</v>
      </c>
      <c r="N18" s="25" t="s">
        <v>233</v>
      </c>
      <c r="O18" s="13" t="s">
        <v>32</v>
      </c>
      <c r="P18" s="13" t="s">
        <v>33</v>
      </c>
      <c r="Q18" s="13" t="s">
        <v>44</v>
      </c>
      <c r="R18" s="13" t="s">
        <v>34</v>
      </c>
      <c r="S18" s="13" t="s">
        <v>86</v>
      </c>
      <c r="T18" s="10">
        <v>1</v>
      </c>
      <c r="U18" s="10">
        <v>0.5</v>
      </c>
      <c r="V18" s="10">
        <v>0.5</v>
      </c>
      <c r="W18" s="10">
        <v>0.5</v>
      </c>
      <c r="X18" s="10">
        <v>2.5</v>
      </c>
    </row>
    <row r="19" spans="1:24" x14ac:dyDescent="0.3">
      <c r="A19" s="13" t="s">
        <v>234</v>
      </c>
      <c r="B19" s="13" t="s">
        <v>235</v>
      </c>
      <c r="C19" s="13" t="s">
        <v>236</v>
      </c>
      <c r="D19" s="13" t="s">
        <v>237</v>
      </c>
      <c r="E19" s="13">
        <v>2025</v>
      </c>
      <c r="F19" s="13" t="s">
        <v>238</v>
      </c>
      <c r="G19" s="13"/>
      <c r="H19" s="13"/>
      <c r="I19" s="13"/>
      <c r="J19" s="13">
        <v>436</v>
      </c>
      <c r="K19" s="13">
        <v>442</v>
      </c>
      <c r="L19" s="13">
        <v>0</v>
      </c>
      <c r="M19" s="13" t="s">
        <v>239</v>
      </c>
      <c r="N19" s="25" t="s">
        <v>240</v>
      </c>
      <c r="O19" s="13" t="s">
        <v>70</v>
      </c>
      <c r="P19" s="13" t="s">
        <v>33</v>
      </c>
      <c r="Q19" s="13"/>
      <c r="R19" s="13" t="s">
        <v>34</v>
      </c>
      <c r="S19" s="13" t="s">
        <v>241</v>
      </c>
      <c r="T19" s="10">
        <v>0.5</v>
      </c>
      <c r="U19" s="10">
        <v>0.5</v>
      </c>
      <c r="V19" s="10">
        <v>0.5</v>
      </c>
      <c r="W19" s="10">
        <v>0.5</v>
      </c>
      <c r="X19" s="10">
        <v>2</v>
      </c>
    </row>
    <row r="20" spans="1:24" x14ac:dyDescent="0.3">
      <c r="A20" s="13" t="s">
        <v>242</v>
      </c>
      <c r="B20" s="13" t="s">
        <v>243</v>
      </c>
      <c r="C20" s="13" t="s">
        <v>244</v>
      </c>
      <c r="D20" s="13" t="s">
        <v>245</v>
      </c>
      <c r="E20" s="13">
        <v>2026</v>
      </c>
      <c r="F20" s="13" t="s">
        <v>246</v>
      </c>
      <c r="G20" s="13" t="s">
        <v>247</v>
      </c>
      <c r="H20" s="13"/>
      <c r="I20" s="13"/>
      <c r="J20" s="13">
        <v>366</v>
      </c>
      <c r="K20" s="13">
        <v>387</v>
      </c>
      <c r="L20" s="13">
        <v>0</v>
      </c>
      <c r="M20" s="13" t="s">
        <v>248</v>
      </c>
      <c r="N20" s="25" t="s">
        <v>249</v>
      </c>
      <c r="O20" s="13" t="s">
        <v>70</v>
      </c>
      <c r="P20" s="13" t="s">
        <v>33</v>
      </c>
      <c r="Q20" s="13"/>
      <c r="R20" s="13" t="s">
        <v>34</v>
      </c>
      <c r="S20" s="13" t="s">
        <v>250</v>
      </c>
      <c r="T20" s="10">
        <v>0.5</v>
      </c>
      <c r="U20" s="10">
        <v>0.5</v>
      </c>
      <c r="V20" s="10">
        <v>0.5</v>
      </c>
      <c r="W20" s="10">
        <v>0.5</v>
      </c>
      <c r="X20" s="10">
        <v>2</v>
      </c>
    </row>
    <row r="21" spans="1:24" x14ac:dyDescent="0.3">
      <c r="A21" s="13" t="s">
        <v>251</v>
      </c>
      <c r="B21" s="13" t="s">
        <v>252</v>
      </c>
      <c r="C21" s="13" t="s">
        <v>253</v>
      </c>
      <c r="D21" s="13" t="s">
        <v>254</v>
      </c>
      <c r="E21" s="13">
        <v>2025</v>
      </c>
      <c r="F21" s="13" t="s">
        <v>255</v>
      </c>
      <c r="G21" s="13"/>
      <c r="H21" s="13"/>
      <c r="I21" s="13"/>
      <c r="J21" s="13"/>
      <c r="K21" s="13"/>
      <c r="L21" s="13">
        <v>1</v>
      </c>
      <c r="M21" s="13" t="s">
        <v>256</v>
      </c>
      <c r="N21" s="25" t="s">
        <v>257</v>
      </c>
      <c r="O21" s="13" t="s">
        <v>70</v>
      </c>
      <c r="P21" s="13" t="s">
        <v>33</v>
      </c>
      <c r="Q21" s="13"/>
      <c r="R21" s="13" t="s">
        <v>34</v>
      </c>
      <c r="S21" s="13" t="s">
        <v>258</v>
      </c>
      <c r="T21" s="10">
        <v>0.5</v>
      </c>
      <c r="U21" s="10">
        <v>0.5</v>
      </c>
      <c r="V21" s="10">
        <v>0.5</v>
      </c>
      <c r="W21" s="10">
        <v>0.5</v>
      </c>
      <c r="X21" s="10">
        <v>2</v>
      </c>
    </row>
    <row r="22" spans="1:24" x14ac:dyDescent="0.3">
      <c r="A22" s="13" t="s">
        <v>259</v>
      </c>
      <c r="B22" s="13" t="s">
        <v>260</v>
      </c>
      <c r="C22" s="13" t="s">
        <v>261</v>
      </c>
      <c r="D22" s="13" t="s">
        <v>262</v>
      </c>
      <c r="E22" s="13">
        <v>2023</v>
      </c>
      <c r="F22" s="13" t="s">
        <v>124</v>
      </c>
      <c r="G22" s="13">
        <v>23</v>
      </c>
      <c r="H22" s="13">
        <v>6</v>
      </c>
      <c r="I22" s="13">
        <v>3127</v>
      </c>
      <c r="J22" s="13"/>
      <c r="K22" s="13"/>
      <c r="L22" s="13">
        <v>30</v>
      </c>
      <c r="M22" s="13" t="s">
        <v>263</v>
      </c>
      <c r="N22" s="25" t="s">
        <v>264</v>
      </c>
      <c r="O22" s="13" t="s">
        <v>32</v>
      </c>
      <c r="P22" s="13" t="s">
        <v>33</v>
      </c>
      <c r="Q22" s="13" t="s">
        <v>44</v>
      </c>
      <c r="R22" s="13" t="s">
        <v>34</v>
      </c>
      <c r="S22" s="13" t="s">
        <v>265</v>
      </c>
      <c r="T22" s="10">
        <v>0.5</v>
      </c>
      <c r="U22" s="10">
        <v>0.5</v>
      </c>
      <c r="V22" s="10">
        <v>0.5</v>
      </c>
      <c r="W22" s="10">
        <v>0.5</v>
      </c>
      <c r="X22" s="10">
        <v>2</v>
      </c>
    </row>
    <row r="23" spans="1:24" x14ac:dyDescent="0.3">
      <c r="A23" s="13" t="s">
        <v>266</v>
      </c>
      <c r="B23" s="13" t="s">
        <v>267</v>
      </c>
      <c r="C23" s="13" t="s">
        <v>268</v>
      </c>
      <c r="D23" s="13" t="s">
        <v>269</v>
      </c>
      <c r="E23" s="13">
        <v>2024</v>
      </c>
      <c r="F23" s="13" t="s">
        <v>270</v>
      </c>
      <c r="G23" s="13"/>
      <c r="H23" s="13"/>
      <c r="I23" s="13"/>
      <c r="J23" s="13">
        <v>1292</v>
      </c>
      <c r="K23" s="13">
        <v>1296</v>
      </c>
      <c r="L23" s="13">
        <v>5</v>
      </c>
      <c r="M23" s="13" t="s">
        <v>271</v>
      </c>
      <c r="N23" s="25" t="s">
        <v>272</v>
      </c>
      <c r="O23" s="13" t="s">
        <v>70</v>
      </c>
      <c r="P23" s="13" t="s">
        <v>33</v>
      </c>
      <c r="Q23" s="13"/>
      <c r="R23" s="13" t="s">
        <v>34</v>
      </c>
      <c r="S23" s="13" t="s">
        <v>273</v>
      </c>
      <c r="T23" s="10">
        <v>1</v>
      </c>
      <c r="U23" s="10">
        <v>1</v>
      </c>
      <c r="V23" s="10">
        <v>0.5</v>
      </c>
      <c r="W23" s="10">
        <v>0.5</v>
      </c>
      <c r="X23" s="10">
        <v>3</v>
      </c>
    </row>
    <row r="24" spans="1:24" x14ac:dyDescent="0.3">
      <c r="A24" s="13" t="s">
        <v>274</v>
      </c>
      <c r="B24" s="13" t="s">
        <v>275</v>
      </c>
      <c r="C24" s="13" t="s">
        <v>276</v>
      </c>
      <c r="D24" s="13" t="s">
        <v>277</v>
      </c>
      <c r="E24" s="13">
        <v>2023</v>
      </c>
      <c r="F24" s="13" t="s">
        <v>28</v>
      </c>
      <c r="G24" s="13">
        <v>211</v>
      </c>
      <c r="H24" s="13"/>
      <c r="I24" s="13">
        <v>118510</v>
      </c>
      <c r="J24" s="13"/>
      <c r="K24" s="13"/>
      <c r="L24" s="13">
        <v>22</v>
      </c>
      <c r="M24" s="13" t="s">
        <v>278</v>
      </c>
      <c r="N24" s="25" t="s">
        <v>279</v>
      </c>
      <c r="O24" s="13" t="s">
        <v>32</v>
      </c>
      <c r="P24" s="13" t="s">
        <v>33</v>
      </c>
      <c r="Q24" s="13" t="s">
        <v>280</v>
      </c>
      <c r="R24" s="13" t="s">
        <v>34</v>
      </c>
      <c r="S24" s="13" t="s">
        <v>281</v>
      </c>
      <c r="T24" s="10">
        <v>0.5</v>
      </c>
      <c r="U24" s="10">
        <v>0.5</v>
      </c>
      <c r="V24" s="10">
        <v>0.5</v>
      </c>
      <c r="W24" s="10">
        <v>0.5</v>
      </c>
      <c r="X24" s="10">
        <v>2</v>
      </c>
    </row>
    <row r="25" spans="1:24" x14ac:dyDescent="0.3">
      <c r="A25" s="13" t="s">
        <v>282</v>
      </c>
      <c r="B25" s="13" t="s">
        <v>283</v>
      </c>
      <c r="C25" s="13" t="s">
        <v>284</v>
      </c>
      <c r="D25" s="13" t="s">
        <v>285</v>
      </c>
      <c r="E25" s="13">
        <v>2025</v>
      </c>
      <c r="F25" s="13" t="s">
        <v>286</v>
      </c>
      <c r="G25" s="13"/>
      <c r="H25" s="13"/>
      <c r="I25" s="13"/>
      <c r="J25" s="13"/>
      <c r="K25" s="13"/>
      <c r="L25" s="13">
        <v>1</v>
      </c>
      <c r="M25" s="13" t="s">
        <v>287</v>
      </c>
      <c r="N25" s="25" t="s">
        <v>288</v>
      </c>
      <c r="O25" s="13" t="s">
        <v>70</v>
      </c>
      <c r="P25" s="13" t="s">
        <v>33</v>
      </c>
      <c r="Q25" s="13"/>
      <c r="R25" s="13" t="s">
        <v>34</v>
      </c>
      <c r="S25" s="13" t="s">
        <v>289</v>
      </c>
      <c r="T25" s="10">
        <v>0.5</v>
      </c>
      <c r="U25" s="10">
        <v>0.5</v>
      </c>
      <c r="V25" s="10">
        <v>0.5</v>
      </c>
      <c r="W25" s="10">
        <v>0.5</v>
      </c>
      <c r="X25" s="10">
        <v>2</v>
      </c>
    </row>
    <row r="26" spans="1:24" x14ac:dyDescent="0.3">
      <c r="A26" s="13" t="s">
        <v>290</v>
      </c>
      <c r="B26" s="13" t="s">
        <v>291</v>
      </c>
      <c r="C26" s="13" t="s">
        <v>292</v>
      </c>
      <c r="D26" s="13" t="s">
        <v>293</v>
      </c>
      <c r="E26" s="13">
        <v>2022</v>
      </c>
      <c r="F26" s="13" t="s">
        <v>124</v>
      </c>
      <c r="G26" s="13">
        <v>22</v>
      </c>
      <c r="H26" s="13">
        <v>18</v>
      </c>
      <c r="I26" s="13">
        <v>6897</v>
      </c>
      <c r="J26" s="13"/>
      <c r="K26" s="13"/>
      <c r="L26" s="13">
        <v>29</v>
      </c>
      <c r="M26" s="13" t="s">
        <v>294</v>
      </c>
      <c r="N26" s="25" t="s">
        <v>295</v>
      </c>
      <c r="O26" s="13" t="s">
        <v>32</v>
      </c>
      <c r="P26" s="13" t="s">
        <v>33</v>
      </c>
      <c r="Q26" s="13" t="s">
        <v>44</v>
      </c>
      <c r="R26" s="13" t="s">
        <v>34</v>
      </c>
      <c r="S26" s="13" t="s">
        <v>296</v>
      </c>
      <c r="T26" s="10">
        <v>0.5</v>
      </c>
      <c r="U26" s="10">
        <v>0.5</v>
      </c>
      <c r="V26" s="10">
        <v>0.5</v>
      </c>
      <c r="W26" s="10">
        <v>0.5</v>
      </c>
      <c r="X26" s="10">
        <v>2</v>
      </c>
    </row>
    <row r="27" spans="1:24" x14ac:dyDescent="0.3">
      <c r="A27" s="13" t="s">
        <v>297</v>
      </c>
      <c r="B27" s="13" t="s">
        <v>298</v>
      </c>
      <c r="C27" s="13" t="s">
        <v>299</v>
      </c>
      <c r="D27" s="13" t="s">
        <v>300</v>
      </c>
      <c r="E27" s="13">
        <v>2025</v>
      </c>
      <c r="F27" s="13" t="s">
        <v>301</v>
      </c>
      <c r="G27" s="13">
        <v>13639</v>
      </c>
      <c r="H27" s="13"/>
      <c r="I27" s="13" t="s">
        <v>302</v>
      </c>
      <c r="J27" s="13"/>
      <c r="K27" s="13"/>
      <c r="L27" s="13">
        <v>0</v>
      </c>
      <c r="M27" s="13" t="s">
        <v>303</v>
      </c>
      <c r="N27" s="25" t="s">
        <v>304</v>
      </c>
      <c r="O27" s="13" t="s">
        <v>70</v>
      </c>
      <c r="P27" s="13" t="s">
        <v>33</v>
      </c>
      <c r="Q27" s="13"/>
      <c r="R27" s="13" t="s">
        <v>34</v>
      </c>
      <c r="S27" s="13" t="s">
        <v>305</v>
      </c>
      <c r="T27" s="10">
        <v>0.5</v>
      </c>
      <c r="U27" s="10">
        <v>0.5</v>
      </c>
      <c r="V27" s="10">
        <v>0.5</v>
      </c>
      <c r="W27" s="10">
        <v>0.5</v>
      </c>
      <c r="X27" s="10">
        <v>2</v>
      </c>
    </row>
    <row r="28" spans="1:24" x14ac:dyDescent="0.3">
      <c r="A28" s="13" t="s">
        <v>306</v>
      </c>
      <c r="B28" s="13" t="s">
        <v>307</v>
      </c>
      <c r="C28" s="13" t="s">
        <v>308</v>
      </c>
      <c r="D28" s="13" t="s">
        <v>309</v>
      </c>
      <c r="E28" s="13">
        <v>2021</v>
      </c>
      <c r="F28" s="13" t="s">
        <v>310</v>
      </c>
      <c r="G28" s="13">
        <v>10</v>
      </c>
      <c r="H28" s="13">
        <v>4</v>
      </c>
      <c r="I28" s="13">
        <v>71</v>
      </c>
      <c r="J28" s="13"/>
      <c r="K28" s="13"/>
      <c r="L28" s="13">
        <v>10</v>
      </c>
      <c r="M28" s="13" t="s">
        <v>311</v>
      </c>
      <c r="N28" s="25" t="s">
        <v>312</v>
      </c>
      <c r="O28" s="13" t="s">
        <v>32</v>
      </c>
      <c r="P28" s="13" t="s">
        <v>33</v>
      </c>
      <c r="Q28" s="13" t="s">
        <v>44</v>
      </c>
      <c r="R28" s="13" t="s">
        <v>34</v>
      </c>
      <c r="S28" s="13" t="s">
        <v>313</v>
      </c>
      <c r="T28" s="10">
        <v>0.5</v>
      </c>
      <c r="U28" s="10">
        <v>0.5</v>
      </c>
      <c r="V28" s="10">
        <v>0.5</v>
      </c>
      <c r="W28" s="10">
        <v>0.5</v>
      </c>
      <c r="X28" s="10">
        <v>2</v>
      </c>
    </row>
    <row r="29" spans="1:24" x14ac:dyDescent="0.3">
      <c r="A29" s="13" t="s">
        <v>314</v>
      </c>
      <c r="B29" s="13" t="s">
        <v>315</v>
      </c>
      <c r="C29" s="13" t="s">
        <v>316</v>
      </c>
      <c r="D29" s="13" t="s">
        <v>317</v>
      </c>
      <c r="E29" s="13">
        <v>2023</v>
      </c>
      <c r="F29" s="13" t="s">
        <v>301</v>
      </c>
      <c r="G29" s="13">
        <v>12968</v>
      </c>
      <c r="H29" s="13"/>
      <c r="I29" s="13" t="s">
        <v>318</v>
      </c>
      <c r="J29" s="13"/>
      <c r="K29" s="13"/>
      <c r="L29" s="13">
        <v>1</v>
      </c>
      <c r="M29" s="13" t="s">
        <v>319</v>
      </c>
      <c r="N29" s="25" t="s">
        <v>320</v>
      </c>
      <c r="O29" s="13" t="s">
        <v>70</v>
      </c>
      <c r="P29" s="13" t="s">
        <v>33</v>
      </c>
      <c r="Q29" s="13"/>
      <c r="R29" s="13" t="s">
        <v>34</v>
      </c>
      <c r="S29" s="13" t="s">
        <v>321</v>
      </c>
      <c r="T29" s="10">
        <v>0.5</v>
      </c>
      <c r="U29" s="10">
        <v>0.5</v>
      </c>
      <c r="V29" s="10">
        <v>0.5</v>
      </c>
      <c r="W29" s="10">
        <v>0.5</v>
      </c>
      <c r="X29" s="10">
        <v>2</v>
      </c>
    </row>
    <row r="30" spans="1:24" x14ac:dyDescent="0.3">
      <c r="A30" s="13" t="s">
        <v>322</v>
      </c>
      <c r="B30" s="13" t="s">
        <v>323</v>
      </c>
      <c r="C30" s="13" t="s">
        <v>324</v>
      </c>
      <c r="D30" s="13" t="s">
        <v>325</v>
      </c>
      <c r="E30" s="13">
        <v>2022</v>
      </c>
      <c r="F30" s="13" t="s">
        <v>301</v>
      </c>
      <c r="G30" s="13">
        <v>12271</v>
      </c>
      <c r="H30" s="13"/>
      <c r="I30" s="13" t="s">
        <v>326</v>
      </c>
      <c r="J30" s="13"/>
      <c r="K30" s="13"/>
      <c r="L30" s="13">
        <v>0</v>
      </c>
      <c r="M30" s="13" t="s">
        <v>327</v>
      </c>
      <c r="N30" s="25" t="s">
        <v>328</v>
      </c>
      <c r="O30" s="13" t="s">
        <v>70</v>
      </c>
      <c r="P30" s="13" t="s">
        <v>33</v>
      </c>
      <c r="Q30" s="13"/>
      <c r="R30" s="13" t="s">
        <v>34</v>
      </c>
      <c r="S30" s="13" t="s">
        <v>329</v>
      </c>
      <c r="T30" s="10">
        <v>1</v>
      </c>
      <c r="U30" s="10">
        <v>0.5</v>
      </c>
      <c r="V30" s="10">
        <v>0.5</v>
      </c>
      <c r="W30" s="10">
        <v>0.5</v>
      </c>
      <c r="X30" s="10">
        <v>2.5</v>
      </c>
    </row>
    <row r="31" spans="1:24" x14ac:dyDescent="0.3">
      <c r="A31" s="13" t="s">
        <v>330</v>
      </c>
      <c r="B31" s="13" t="s">
        <v>331</v>
      </c>
      <c r="C31" s="13" t="s">
        <v>332</v>
      </c>
      <c r="D31" s="13" t="s">
        <v>333</v>
      </c>
      <c r="E31" s="13">
        <v>2025</v>
      </c>
      <c r="F31" s="13" t="s">
        <v>334</v>
      </c>
      <c r="G31" s="13"/>
      <c r="H31" s="13"/>
      <c r="I31" s="13"/>
      <c r="J31" s="13">
        <v>45</v>
      </c>
      <c r="K31" s="13">
        <v>47</v>
      </c>
      <c r="L31" s="13">
        <v>0</v>
      </c>
      <c r="M31" s="13" t="s">
        <v>335</v>
      </c>
      <c r="N31" s="25" t="s">
        <v>336</v>
      </c>
      <c r="O31" s="13" t="s">
        <v>70</v>
      </c>
      <c r="P31" s="13" t="s">
        <v>33</v>
      </c>
      <c r="Q31" s="13"/>
      <c r="R31" s="13" t="s">
        <v>34</v>
      </c>
      <c r="S31" s="13" t="s">
        <v>337</v>
      </c>
      <c r="T31" s="10">
        <v>0.5</v>
      </c>
      <c r="U31" s="10">
        <v>0.5</v>
      </c>
      <c r="V31" s="10">
        <v>0.5</v>
      </c>
      <c r="W31" s="10">
        <v>0.5</v>
      </c>
      <c r="X31" s="10">
        <v>2</v>
      </c>
    </row>
    <row r="32" spans="1:24" x14ac:dyDescent="0.3">
      <c r="A32" s="13" t="s">
        <v>338</v>
      </c>
      <c r="B32" s="13" t="s">
        <v>339</v>
      </c>
      <c r="C32" s="13" t="s">
        <v>340</v>
      </c>
      <c r="D32" s="13" t="s">
        <v>341</v>
      </c>
      <c r="E32" s="13">
        <v>2024</v>
      </c>
      <c r="F32" s="13" t="s">
        <v>124</v>
      </c>
      <c r="G32" s="13">
        <v>24</v>
      </c>
      <c r="H32" s="13">
        <v>1</v>
      </c>
      <c r="I32" s="13">
        <v>49</v>
      </c>
      <c r="J32" s="13"/>
      <c r="K32" s="13"/>
      <c r="L32" s="13">
        <v>8</v>
      </c>
      <c r="M32" s="13" t="s">
        <v>342</v>
      </c>
      <c r="N32" s="25" t="s">
        <v>343</v>
      </c>
      <c r="O32" s="13" t="s">
        <v>32</v>
      </c>
      <c r="P32" s="13" t="s">
        <v>33</v>
      </c>
      <c r="Q32" s="13" t="s">
        <v>44</v>
      </c>
      <c r="R32" s="13" t="s">
        <v>34</v>
      </c>
      <c r="S32" s="13" t="s">
        <v>344</v>
      </c>
      <c r="T32" s="10">
        <v>0.5</v>
      </c>
      <c r="U32" s="10">
        <v>0.5</v>
      </c>
      <c r="V32" s="10">
        <v>0.5</v>
      </c>
      <c r="W32" s="10">
        <v>0.5</v>
      </c>
      <c r="X32" s="10">
        <v>2</v>
      </c>
    </row>
    <row r="33" spans="1:24" x14ac:dyDescent="0.3">
      <c r="A33" s="13" t="s">
        <v>345</v>
      </c>
      <c r="B33" s="13" t="s">
        <v>346</v>
      </c>
      <c r="C33" s="13" t="s">
        <v>347</v>
      </c>
      <c r="D33" s="13" t="s">
        <v>348</v>
      </c>
      <c r="E33" s="13">
        <v>2021</v>
      </c>
      <c r="F33" s="13" t="s">
        <v>349</v>
      </c>
      <c r="G33" s="13"/>
      <c r="H33" s="13"/>
      <c r="I33" s="13"/>
      <c r="J33" s="13"/>
      <c r="K33" s="13"/>
      <c r="L33" s="13">
        <v>11</v>
      </c>
      <c r="M33" s="13"/>
      <c r="N33" s="25" t="s">
        <v>350</v>
      </c>
      <c r="O33" s="13" t="s">
        <v>70</v>
      </c>
      <c r="P33" s="13" t="s">
        <v>33</v>
      </c>
      <c r="Q33" s="13"/>
      <c r="R33" s="13" t="s">
        <v>34</v>
      </c>
      <c r="S33" s="13" t="s">
        <v>351</v>
      </c>
      <c r="T33" s="10">
        <v>0.5</v>
      </c>
      <c r="U33" s="10">
        <v>0.5</v>
      </c>
      <c r="V33" s="10">
        <v>0.5</v>
      </c>
      <c r="W33" s="10">
        <v>0.5</v>
      </c>
      <c r="X33" s="10">
        <v>2</v>
      </c>
    </row>
    <row r="34" spans="1:24" x14ac:dyDescent="0.3">
      <c r="A34" s="13" t="s">
        <v>352</v>
      </c>
      <c r="B34" s="13" t="s">
        <v>353</v>
      </c>
      <c r="C34" s="13" t="s">
        <v>354</v>
      </c>
      <c r="D34" s="13" t="s">
        <v>355</v>
      </c>
      <c r="E34" s="13">
        <v>2023</v>
      </c>
      <c r="F34" s="13" t="s">
        <v>124</v>
      </c>
      <c r="G34" s="13">
        <v>23</v>
      </c>
      <c r="H34" s="13">
        <v>8</v>
      </c>
      <c r="I34" s="13">
        <v>3887</v>
      </c>
      <c r="J34" s="13"/>
      <c r="K34" s="13"/>
      <c r="L34" s="13">
        <v>50</v>
      </c>
      <c r="M34" s="13" t="s">
        <v>356</v>
      </c>
      <c r="N34" s="25" t="s">
        <v>357</v>
      </c>
      <c r="O34" s="13" t="s">
        <v>32</v>
      </c>
      <c r="P34" s="13" t="s">
        <v>33</v>
      </c>
      <c r="Q34" s="13" t="s">
        <v>44</v>
      </c>
      <c r="R34" s="13" t="s">
        <v>34</v>
      </c>
      <c r="S34" s="13" t="s">
        <v>358</v>
      </c>
      <c r="T34" s="10">
        <v>0.5</v>
      </c>
      <c r="U34" s="10">
        <v>0.5</v>
      </c>
      <c r="V34" s="10">
        <v>0.5</v>
      </c>
      <c r="W34" s="10">
        <v>0.5</v>
      </c>
      <c r="X34" s="10">
        <v>2</v>
      </c>
    </row>
    <row r="35" spans="1:24" x14ac:dyDescent="0.3">
      <c r="A35" s="28" t="s">
        <v>46</v>
      </c>
      <c r="B35" s="28" t="s">
        <v>47</v>
      </c>
      <c r="C35" s="28" t="s">
        <v>48</v>
      </c>
      <c r="D35" s="28" t="s">
        <v>49</v>
      </c>
      <c r="E35" s="28">
        <v>2025</v>
      </c>
      <c r="F35" s="28" t="s">
        <v>50</v>
      </c>
      <c r="G35" s="28">
        <v>12</v>
      </c>
      <c r="H35" s="28">
        <v>1</v>
      </c>
      <c r="I35" s="28">
        <v>793</v>
      </c>
      <c r="J35" s="28"/>
      <c r="K35" s="28"/>
      <c r="L35" s="28">
        <v>7</v>
      </c>
      <c r="M35" s="28" t="s">
        <v>51</v>
      </c>
      <c r="N35" s="28" t="s">
        <v>52</v>
      </c>
      <c r="O35" s="28" t="s">
        <v>32</v>
      </c>
      <c r="P35" s="28" t="s">
        <v>33</v>
      </c>
      <c r="Q35" s="28" t="s">
        <v>44</v>
      </c>
      <c r="R35" s="28" t="s">
        <v>34</v>
      </c>
      <c r="S35" s="28" t="s">
        <v>53</v>
      </c>
      <c r="T35" s="28">
        <v>1</v>
      </c>
      <c r="U35" s="28">
        <v>1</v>
      </c>
      <c r="V35" s="28">
        <v>1</v>
      </c>
      <c r="W35" s="28">
        <v>1</v>
      </c>
      <c r="X35" s="7">
        <v>4</v>
      </c>
    </row>
    <row r="36" spans="1:24" x14ac:dyDescent="0.3">
      <c r="A36" s="13" t="s">
        <v>366</v>
      </c>
      <c r="B36" s="13" t="s">
        <v>367</v>
      </c>
      <c r="C36" s="13">
        <v>57219588402</v>
      </c>
      <c r="D36" s="13" t="s">
        <v>368</v>
      </c>
      <c r="E36" s="13">
        <v>2021</v>
      </c>
      <c r="F36" s="13" t="s">
        <v>124</v>
      </c>
      <c r="G36" s="13">
        <v>21</v>
      </c>
      <c r="H36" s="13">
        <v>22</v>
      </c>
      <c r="I36" s="13">
        <v>7527</v>
      </c>
      <c r="J36" s="13"/>
      <c r="K36" s="13"/>
      <c r="L36" s="13">
        <v>35</v>
      </c>
      <c r="M36" s="13" t="s">
        <v>369</v>
      </c>
      <c r="N36" s="25" t="s">
        <v>370</v>
      </c>
      <c r="O36" s="13" t="s">
        <v>32</v>
      </c>
      <c r="P36" s="13" t="s">
        <v>33</v>
      </c>
      <c r="Q36" s="13" t="s">
        <v>44</v>
      </c>
      <c r="R36" s="13" t="s">
        <v>34</v>
      </c>
      <c r="S36" s="13" t="s">
        <v>371</v>
      </c>
      <c r="T36" s="10">
        <v>0.5</v>
      </c>
      <c r="U36" s="10">
        <v>0.5</v>
      </c>
      <c r="V36" s="10">
        <v>0.5</v>
      </c>
      <c r="W36" s="10">
        <v>0.5</v>
      </c>
      <c r="X36" s="10">
        <v>2</v>
      </c>
    </row>
    <row r="37" spans="1:24" x14ac:dyDescent="0.3">
      <c r="A37" s="13" t="s">
        <v>372</v>
      </c>
      <c r="B37" s="13" t="s">
        <v>373</v>
      </c>
      <c r="C37" s="13" t="s">
        <v>374</v>
      </c>
      <c r="D37" s="13" t="s">
        <v>375</v>
      </c>
      <c r="E37" s="13">
        <v>2021</v>
      </c>
      <c r="F37" s="13" t="s">
        <v>124</v>
      </c>
      <c r="G37" s="13">
        <v>21</v>
      </c>
      <c r="H37" s="13">
        <v>5</v>
      </c>
      <c r="I37" s="13">
        <v>1592</v>
      </c>
      <c r="J37" s="13">
        <v>1</v>
      </c>
      <c r="K37" s="13">
        <v>14</v>
      </c>
      <c r="L37" s="13">
        <v>44</v>
      </c>
      <c r="M37" s="13" t="s">
        <v>376</v>
      </c>
      <c r="N37" s="25" t="s">
        <v>377</v>
      </c>
      <c r="O37" s="13" t="s">
        <v>32</v>
      </c>
      <c r="P37" s="13" t="s">
        <v>33</v>
      </c>
      <c r="Q37" s="13" t="s">
        <v>44</v>
      </c>
      <c r="R37" s="13" t="s">
        <v>34</v>
      </c>
      <c r="S37" s="13" t="s">
        <v>378</v>
      </c>
      <c r="T37" s="10">
        <v>0.5</v>
      </c>
      <c r="U37" s="10">
        <v>0.5</v>
      </c>
      <c r="V37" s="10">
        <v>0.5</v>
      </c>
      <c r="W37" s="10">
        <v>0.5</v>
      </c>
      <c r="X37" s="10">
        <v>2</v>
      </c>
    </row>
    <row r="38" spans="1:24" x14ac:dyDescent="0.3">
      <c r="A38" s="13" t="s">
        <v>379</v>
      </c>
      <c r="B38" s="13" t="s">
        <v>380</v>
      </c>
      <c r="C38" s="13" t="s">
        <v>381</v>
      </c>
      <c r="D38" s="13" t="s">
        <v>382</v>
      </c>
      <c r="E38" s="13">
        <v>2025</v>
      </c>
      <c r="F38" s="13" t="s">
        <v>383</v>
      </c>
      <c r="G38" s="13"/>
      <c r="H38" s="13"/>
      <c r="I38" s="13"/>
      <c r="J38" s="13"/>
      <c r="K38" s="13"/>
      <c r="L38" s="13">
        <v>0</v>
      </c>
      <c r="M38" s="13" t="s">
        <v>384</v>
      </c>
      <c r="N38" s="25" t="s">
        <v>385</v>
      </c>
      <c r="O38" s="13" t="s">
        <v>70</v>
      </c>
      <c r="P38" s="13" t="s">
        <v>33</v>
      </c>
      <c r="Q38" s="13"/>
      <c r="R38" s="13" t="s">
        <v>34</v>
      </c>
      <c r="S38" s="13" t="s">
        <v>386</v>
      </c>
      <c r="T38" s="10">
        <v>0.5</v>
      </c>
      <c r="U38" s="10">
        <v>0.5</v>
      </c>
      <c r="V38" s="10">
        <v>0.5</v>
      </c>
      <c r="W38" s="10">
        <v>0.5</v>
      </c>
      <c r="X38" s="10">
        <v>2</v>
      </c>
    </row>
    <row r="39" spans="1:24" ht="57.6" x14ac:dyDescent="0.3">
      <c r="A39" s="28" t="s">
        <v>78</v>
      </c>
      <c r="B39" s="28" t="s">
        <v>77</v>
      </c>
      <c r="C39" s="28" t="s">
        <v>76</v>
      </c>
      <c r="D39" s="28" t="s">
        <v>75</v>
      </c>
      <c r="E39" s="28">
        <v>2025</v>
      </c>
      <c r="F39" s="30" t="s">
        <v>74</v>
      </c>
      <c r="G39" s="28"/>
      <c r="H39" s="28"/>
      <c r="I39" s="28"/>
      <c r="J39" s="28"/>
      <c r="K39" s="28"/>
      <c r="L39" s="28">
        <v>0</v>
      </c>
      <c r="M39" s="28" t="s">
        <v>73</v>
      </c>
      <c r="N39" s="28" t="s">
        <v>72</v>
      </c>
      <c r="O39" s="28" t="s">
        <v>70</v>
      </c>
      <c r="P39" s="28" t="s">
        <v>33</v>
      </c>
      <c r="Q39" s="28"/>
      <c r="R39" s="28" t="s">
        <v>34</v>
      </c>
      <c r="S39" s="28" t="s">
        <v>71</v>
      </c>
      <c r="T39" s="28">
        <v>1</v>
      </c>
      <c r="U39" s="28">
        <v>1</v>
      </c>
      <c r="V39" s="28">
        <v>1</v>
      </c>
      <c r="W39" s="28">
        <v>0.5</v>
      </c>
      <c r="X39" s="7">
        <v>3.5</v>
      </c>
    </row>
    <row r="40" spans="1:24" x14ac:dyDescent="0.3">
      <c r="A40" s="13" t="s">
        <v>395</v>
      </c>
      <c r="B40" s="13" t="s">
        <v>396</v>
      </c>
      <c r="C40" s="13" t="s">
        <v>397</v>
      </c>
      <c r="D40" s="13" t="s">
        <v>398</v>
      </c>
      <c r="E40" s="13">
        <v>2022</v>
      </c>
      <c r="F40" s="13" t="s">
        <v>399</v>
      </c>
      <c r="G40" s="13" t="s">
        <v>400</v>
      </c>
      <c r="H40" s="13"/>
      <c r="I40" s="13"/>
      <c r="J40" s="13">
        <v>790</v>
      </c>
      <c r="K40" s="13">
        <v>794</v>
      </c>
      <c r="L40" s="13">
        <v>4</v>
      </c>
      <c r="M40" s="13" t="s">
        <v>401</v>
      </c>
      <c r="N40" s="25" t="s">
        <v>402</v>
      </c>
      <c r="O40" s="13" t="s">
        <v>70</v>
      </c>
      <c r="P40" s="13" t="s">
        <v>33</v>
      </c>
      <c r="Q40" s="13" t="s">
        <v>403</v>
      </c>
      <c r="R40" s="13" t="s">
        <v>34</v>
      </c>
      <c r="S40" s="13" t="s">
        <v>404</v>
      </c>
      <c r="T40" s="10">
        <v>0.5</v>
      </c>
      <c r="U40" s="10">
        <v>0.5</v>
      </c>
      <c r="V40" s="10">
        <v>0.5</v>
      </c>
      <c r="W40" s="10">
        <v>0.5</v>
      </c>
      <c r="X40" s="10">
        <v>2</v>
      </c>
    </row>
    <row r="41" spans="1:24" x14ac:dyDescent="0.3">
      <c r="A41" s="28" t="s">
        <v>79</v>
      </c>
      <c r="B41" s="28" t="s">
        <v>80</v>
      </c>
      <c r="C41" s="28" t="s">
        <v>81</v>
      </c>
      <c r="D41" s="28" t="s">
        <v>82</v>
      </c>
      <c r="E41" s="28">
        <v>2024</v>
      </c>
      <c r="F41" s="28" t="s">
        <v>83</v>
      </c>
      <c r="G41" s="28">
        <v>16</v>
      </c>
      <c r="H41" s="28">
        <v>2</v>
      </c>
      <c r="I41" s="28">
        <v>877</v>
      </c>
      <c r="J41" s="28"/>
      <c r="K41" s="28"/>
      <c r="L41" s="28">
        <v>9</v>
      </c>
      <c r="M41" s="28" t="s">
        <v>84</v>
      </c>
      <c r="N41" s="28" t="s">
        <v>85</v>
      </c>
      <c r="O41" s="28" t="s">
        <v>32</v>
      </c>
      <c r="P41" s="28" t="s">
        <v>33</v>
      </c>
      <c r="Q41" s="28" t="s">
        <v>44</v>
      </c>
      <c r="R41" s="28" t="s">
        <v>34</v>
      </c>
      <c r="S41" s="28" t="s">
        <v>86</v>
      </c>
      <c r="T41" s="28">
        <v>1</v>
      </c>
      <c r="U41" s="28">
        <v>1</v>
      </c>
      <c r="V41" s="28">
        <v>1</v>
      </c>
      <c r="W41" s="28">
        <v>1</v>
      </c>
      <c r="X41" s="7">
        <v>4</v>
      </c>
    </row>
    <row r="42" spans="1:24" x14ac:dyDescent="0.3">
      <c r="A42" s="13" t="s">
        <v>412</v>
      </c>
      <c r="B42" s="13" t="s">
        <v>413</v>
      </c>
      <c r="C42" s="13" t="s">
        <v>414</v>
      </c>
      <c r="D42" s="13" t="s">
        <v>415</v>
      </c>
      <c r="E42" s="13">
        <v>2025</v>
      </c>
      <c r="F42" s="13" t="s">
        <v>416</v>
      </c>
      <c r="G42" s="13">
        <v>12</v>
      </c>
      <c r="H42" s="13">
        <v>24</v>
      </c>
      <c r="I42" s="13"/>
      <c r="J42" s="13">
        <v>52675</v>
      </c>
      <c r="K42" s="13">
        <v>52686</v>
      </c>
      <c r="L42" s="13">
        <v>2</v>
      </c>
      <c r="M42" s="13" t="s">
        <v>417</v>
      </c>
      <c r="N42" s="25" t="s">
        <v>418</v>
      </c>
      <c r="O42" s="13" t="s">
        <v>32</v>
      </c>
      <c r="P42" s="13" t="s">
        <v>33</v>
      </c>
      <c r="Q42" s="13"/>
      <c r="R42" s="13" t="s">
        <v>34</v>
      </c>
      <c r="S42" s="13" t="s">
        <v>419</v>
      </c>
      <c r="T42" s="10">
        <v>0.5</v>
      </c>
      <c r="U42" s="10">
        <v>0.5</v>
      </c>
      <c r="V42" s="10">
        <v>0.5</v>
      </c>
      <c r="W42" s="10">
        <v>0.5</v>
      </c>
      <c r="X42" s="10">
        <v>2</v>
      </c>
    </row>
    <row r="43" spans="1:24" x14ac:dyDescent="0.3">
      <c r="A43" s="13" t="s">
        <v>420</v>
      </c>
      <c r="B43" s="13" t="s">
        <v>421</v>
      </c>
      <c r="C43" s="13">
        <v>56110428300</v>
      </c>
      <c r="D43" s="13" t="s">
        <v>422</v>
      </c>
      <c r="E43" s="13">
        <v>2025</v>
      </c>
      <c r="F43" s="13" t="s">
        <v>423</v>
      </c>
      <c r="G43" s="13" t="s">
        <v>424</v>
      </c>
      <c r="H43" s="13"/>
      <c r="I43" s="13"/>
      <c r="J43" s="13">
        <v>199</v>
      </c>
      <c r="K43" s="13">
        <v>214</v>
      </c>
      <c r="L43" s="13">
        <v>0</v>
      </c>
      <c r="M43" s="13" t="s">
        <v>425</v>
      </c>
      <c r="N43" s="25" t="s">
        <v>426</v>
      </c>
      <c r="O43" s="13" t="s">
        <v>70</v>
      </c>
      <c r="P43" s="13" t="s">
        <v>33</v>
      </c>
      <c r="Q43" s="13"/>
      <c r="R43" s="13" t="s">
        <v>34</v>
      </c>
      <c r="S43" s="13" t="s">
        <v>427</v>
      </c>
      <c r="T43" s="10">
        <v>0.5</v>
      </c>
      <c r="U43" s="10">
        <v>0.5</v>
      </c>
      <c r="V43" s="10">
        <v>0.5</v>
      </c>
      <c r="W43" s="10">
        <v>0.5</v>
      </c>
      <c r="X43" s="10">
        <v>2</v>
      </c>
    </row>
    <row r="44" spans="1:24" x14ac:dyDescent="0.3">
      <c r="A44" s="13" t="s">
        <v>428</v>
      </c>
      <c r="B44" s="13" t="s">
        <v>429</v>
      </c>
      <c r="C44" s="13" t="s">
        <v>430</v>
      </c>
      <c r="D44" s="13" t="s">
        <v>431</v>
      </c>
      <c r="E44" s="13">
        <v>2026</v>
      </c>
      <c r="F44" s="13" t="s">
        <v>40</v>
      </c>
      <c r="G44" s="13">
        <v>16</v>
      </c>
      <c r="H44" s="13">
        <v>6</v>
      </c>
      <c r="I44" s="13">
        <v>2863</v>
      </c>
      <c r="J44" s="13"/>
      <c r="K44" s="13"/>
      <c r="L44" s="13">
        <v>0</v>
      </c>
      <c r="M44" s="13" t="s">
        <v>432</v>
      </c>
      <c r="N44" s="25" t="s">
        <v>433</v>
      </c>
      <c r="O44" s="13" t="s">
        <v>32</v>
      </c>
      <c r="P44" s="13" t="s">
        <v>33</v>
      </c>
      <c r="Q44" s="13" t="s">
        <v>44</v>
      </c>
      <c r="R44" s="13" t="s">
        <v>34</v>
      </c>
      <c r="S44" s="13" t="s">
        <v>434</v>
      </c>
      <c r="T44" s="10">
        <v>0.5</v>
      </c>
      <c r="U44" s="10">
        <v>0.5</v>
      </c>
      <c r="V44" s="10">
        <v>0.5</v>
      </c>
      <c r="W44" s="10">
        <v>0.5</v>
      </c>
      <c r="X44" s="10">
        <v>3</v>
      </c>
    </row>
    <row r="45" spans="1:24" x14ac:dyDescent="0.3">
      <c r="A45" s="13" t="s">
        <v>435</v>
      </c>
      <c r="B45" s="13" t="s">
        <v>436</v>
      </c>
      <c r="C45" s="13" t="s">
        <v>437</v>
      </c>
      <c r="D45" s="13" t="s">
        <v>438</v>
      </c>
      <c r="E45" s="13">
        <v>2024</v>
      </c>
      <c r="F45" s="13" t="s">
        <v>439</v>
      </c>
      <c r="G45" s="13" t="s">
        <v>440</v>
      </c>
      <c r="H45" s="13"/>
      <c r="I45" s="13"/>
      <c r="J45" s="13">
        <v>317</v>
      </c>
      <c r="K45" s="13">
        <v>326</v>
      </c>
      <c r="L45" s="13">
        <v>2</v>
      </c>
      <c r="M45" s="13" t="s">
        <v>441</v>
      </c>
      <c r="N45" s="25" t="s">
        <v>442</v>
      </c>
      <c r="O45" s="13" t="s">
        <v>70</v>
      </c>
      <c r="P45" s="13" t="s">
        <v>33</v>
      </c>
      <c r="Q45" s="13"/>
      <c r="R45" s="13" t="s">
        <v>34</v>
      </c>
      <c r="S45" s="13" t="s">
        <v>443</v>
      </c>
      <c r="T45" s="10">
        <v>0.5</v>
      </c>
      <c r="U45" s="10">
        <v>1</v>
      </c>
      <c r="V45" s="10">
        <v>1</v>
      </c>
      <c r="W45" s="10">
        <v>1</v>
      </c>
      <c r="X45" s="10">
        <v>2</v>
      </c>
    </row>
    <row r="46" spans="1:24" x14ac:dyDescent="0.3">
      <c r="A46" s="13" t="s">
        <v>444</v>
      </c>
      <c r="B46" s="13" t="s">
        <v>445</v>
      </c>
      <c r="C46" s="13" t="s">
        <v>446</v>
      </c>
      <c r="D46" s="13" t="s">
        <v>447</v>
      </c>
      <c r="E46" s="13">
        <v>2021</v>
      </c>
      <c r="F46" s="13" t="s">
        <v>448</v>
      </c>
      <c r="G46" s="13" t="s">
        <v>449</v>
      </c>
      <c r="H46" s="13"/>
      <c r="I46" s="13"/>
      <c r="J46" s="13">
        <v>4675</v>
      </c>
      <c r="K46" s="13">
        <v>4679</v>
      </c>
      <c r="L46" s="13">
        <v>12</v>
      </c>
      <c r="M46" s="13" t="s">
        <v>450</v>
      </c>
      <c r="N46" s="25" t="s">
        <v>451</v>
      </c>
      <c r="O46" s="13" t="s">
        <v>70</v>
      </c>
      <c r="P46" s="13" t="s">
        <v>33</v>
      </c>
      <c r="Q46" s="13"/>
      <c r="R46" s="13" t="s">
        <v>34</v>
      </c>
      <c r="S46" s="13" t="s">
        <v>452</v>
      </c>
      <c r="T46" s="10">
        <v>0.5</v>
      </c>
      <c r="U46" s="10">
        <v>0.5</v>
      </c>
      <c r="V46" s="10">
        <v>0.5</v>
      </c>
      <c r="W46" s="10">
        <v>1</v>
      </c>
      <c r="X46" s="10">
        <v>2.5</v>
      </c>
    </row>
    <row r="47" spans="1:24" x14ac:dyDescent="0.3">
      <c r="A47" s="13" t="s">
        <v>453</v>
      </c>
      <c r="B47" s="13" t="s">
        <v>454</v>
      </c>
      <c r="C47" s="13" t="s">
        <v>455</v>
      </c>
      <c r="D47" s="13" t="s">
        <v>456</v>
      </c>
      <c r="E47" s="13">
        <v>2022</v>
      </c>
      <c r="F47" s="13" t="s">
        <v>301</v>
      </c>
      <c r="G47" s="13">
        <v>12008</v>
      </c>
      <c r="H47" s="13"/>
      <c r="I47" s="13" t="s">
        <v>457</v>
      </c>
      <c r="J47" s="13"/>
      <c r="K47" s="13"/>
      <c r="L47" s="13">
        <v>4</v>
      </c>
      <c r="M47" s="13" t="s">
        <v>458</v>
      </c>
      <c r="N47" s="25" t="s">
        <v>459</v>
      </c>
      <c r="O47" s="13" t="s">
        <v>70</v>
      </c>
      <c r="P47" s="13" t="s">
        <v>33</v>
      </c>
      <c r="Q47" s="13"/>
      <c r="R47" s="13" t="s">
        <v>34</v>
      </c>
      <c r="S47" s="13" t="s">
        <v>460</v>
      </c>
      <c r="T47" s="10">
        <v>0.5</v>
      </c>
      <c r="U47" s="10">
        <v>0.5</v>
      </c>
      <c r="V47" s="10">
        <v>0.5</v>
      </c>
      <c r="W47" s="10">
        <v>0.5</v>
      </c>
      <c r="X47" s="10">
        <v>2</v>
      </c>
    </row>
    <row r="48" spans="1:24" x14ac:dyDescent="0.3">
      <c r="A48" s="13" t="s">
        <v>461</v>
      </c>
      <c r="B48" s="13" t="s">
        <v>462</v>
      </c>
      <c r="C48" s="13" t="s">
        <v>463</v>
      </c>
      <c r="D48" s="13" t="s">
        <v>464</v>
      </c>
      <c r="E48" s="13">
        <v>2025</v>
      </c>
      <c r="F48" s="13" t="s">
        <v>301</v>
      </c>
      <c r="G48" s="13">
        <v>13654</v>
      </c>
      <c r="H48" s="13"/>
      <c r="I48" s="13" t="s">
        <v>465</v>
      </c>
      <c r="J48" s="13"/>
      <c r="K48" s="13"/>
      <c r="L48" s="13">
        <v>0</v>
      </c>
      <c r="M48" s="13" t="s">
        <v>466</v>
      </c>
      <c r="N48" s="25" t="s">
        <v>467</v>
      </c>
      <c r="O48" s="13" t="s">
        <v>70</v>
      </c>
      <c r="P48" s="13" t="s">
        <v>33</v>
      </c>
      <c r="Q48" s="13"/>
      <c r="R48" s="13" t="s">
        <v>34</v>
      </c>
      <c r="S48" s="13" t="s">
        <v>468</v>
      </c>
      <c r="T48" s="10">
        <v>0.5</v>
      </c>
      <c r="U48" s="10">
        <v>0.5</v>
      </c>
      <c r="V48" s="10">
        <v>0.5</v>
      </c>
      <c r="W48" s="10">
        <v>0.5</v>
      </c>
      <c r="X48" s="10">
        <v>2</v>
      </c>
    </row>
    <row r="49" spans="1:24" x14ac:dyDescent="0.3">
      <c r="A49" s="13" t="s">
        <v>469</v>
      </c>
      <c r="B49" s="13" t="s">
        <v>470</v>
      </c>
      <c r="C49" s="13" t="s">
        <v>471</v>
      </c>
      <c r="D49" s="13" t="s">
        <v>472</v>
      </c>
      <c r="E49" s="13">
        <v>2024</v>
      </c>
      <c r="F49" s="13" t="s">
        <v>473</v>
      </c>
      <c r="G49" s="13"/>
      <c r="H49" s="13"/>
      <c r="I49" s="13"/>
      <c r="J49" s="13"/>
      <c r="K49" s="13"/>
      <c r="L49" s="13">
        <v>0</v>
      </c>
      <c r="M49" s="13"/>
      <c r="N49" s="25" t="s">
        <v>474</v>
      </c>
      <c r="O49" s="13" t="s">
        <v>70</v>
      </c>
      <c r="P49" s="13" t="s">
        <v>33</v>
      </c>
      <c r="Q49" s="13"/>
      <c r="R49" s="13" t="s">
        <v>34</v>
      </c>
      <c r="S49" s="13" t="s">
        <v>475</v>
      </c>
      <c r="T49" s="10">
        <v>0.5</v>
      </c>
      <c r="U49" s="10">
        <v>1</v>
      </c>
      <c r="V49" s="10">
        <v>0.5</v>
      </c>
      <c r="W49" s="10">
        <v>0.5</v>
      </c>
      <c r="X49" s="10">
        <v>2</v>
      </c>
    </row>
    <row r="50" spans="1:24" x14ac:dyDescent="0.3">
      <c r="A50" s="13" t="s">
        <v>476</v>
      </c>
      <c r="B50" s="13" t="s">
        <v>477</v>
      </c>
      <c r="C50" s="13" t="s">
        <v>478</v>
      </c>
      <c r="D50" s="13" t="s">
        <v>479</v>
      </c>
      <c r="E50" s="13">
        <v>2025</v>
      </c>
      <c r="F50" s="13" t="s">
        <v>40</v>
      </c>
      <c r="G50" s="13">
        <v>15</v>
      </c>
      <c r="H50" s="13">
        <v>9</v>
      </c>
      <c r="I50" s="13">
        <v>5203</v>
      </c>
      <c r="J50" s="13"/>
      <c r="K50" s="13"/>
      <c r="L50" s="13">
        <v>1</v>
      </c>
      <c r="M50" s="13" t="s">
        <v>480</v>
      </c>
      <c r="N50" s="25" t="s">
        <v>481</v>
      </c>
      <c r="O50" s="13" t="s">
        <v>32</v>
      </c>
      <c r="P50" s="13" t="s">
        <v>33</v>
      </c>
      <c r="Q50" s="13" t="s">
        <v>44</v>
      </c>
      <c r="R50" s="13" t="s">
        <v>34</v>
      </c>
      <c r="S50" s="13" t="s">
        <v>482</v>
      </c>
      <c r="T50" s="10">
        <v>0.5</v>
      </c>
      <c r="U50" s="10">
        <v>0.5</v>
      </c>
      <c r="V50" s="10">
        <v>0.5</v>
      </c>
      <c r="W50" s="10">
        <v>0.5</v>
      </c>
      <c r="X50" s="10">
        <v>2</v>
      </c>
    </row>
    <row r="51" spans="1:24" x14ac:dyDescent="0.3">
      <c r="A51" s="13" t="s">
        <v>483</v>
      </c>
      <c r="B51" s="13" t="s">
        <v>484</v>
      </c>
      <c r="C51" s="13" t="s">
        <v>485</v>
      </c>
      <c r="D51" s="13" t="s">
        <v>486</v>
      </c>
      <c r="E51" s="13">
        <v>2024</v>
      </c>
      <c r="F51" s="13" t="s">
        <v>124</v>
      </c>
      <c r="G51" s="13">
        <v>24</v>
      </c>
      <c r="H51" s="13">
        <v>17</v>
      </c>
      <c r="I51" s="13">
        <v>5777</v>
      </c>
      <c r="J51" s="13"/>
      <c r="K51" s="13"/>
      <c r="L51" s="13">
        <v>8</v>
      </c>
      <c r="M51" s="13" t="s">
        <v>487</v>
      </c>
      <c r="N51" s="25" t="s">
        <v>488</v>
      </c>
      <c r="O51" s="13" t="s">
        <v>32</v>
      </c>
      <c r="P51" s="13" t="s">
        <v>33</v>
      </c>
      <c r="Q51" s="13" t="s">
        <v>44</v>
      </c>
      <c r="R51" s="13" t="s">
        <v>34</v>
      </c>
      <c r="S51" s="13" t="s">
        <v>489</v>
      </c>
      <c r="T51" s="10">
        <v>0.5</v>
      </c>
      <c r="U51" s="10">
        <v>1</v>
      </c>
      <c r="V51" s="10">
        <v>0.5</v>
      </c>
      <c r="W51" s="10">
        <v>0.5</v>
      </c>
      <c r="X51" s="10">
        <v>2</v>
      </c>
    </row>
    <row r="52" spans="1:24" x14ac:dyDescent="0.3">
      <c r="A52" s="13"/>
      <c r="B52" s="13"/>
      <c r="C52" s="13"/>
      <c r="D52" s="13" t="s">
        <v>490</v>
      </c>
      <c r="E52" s="13">
        <v>2025</v>
      </c>
      <c r="F52" s="13" t="s">
        <v>490</v>
      </c>
      <c r="G52" s="13"/>
      <c r="H52" s="13"/>
      <c r="I52" s="13"/>
      <c r="J52" s="13"/>
      <c r="K52" s="13"/>
      <c r="L52" s="13">
        <v>0</v>
      </c>
      <c r="M52" s="13"/>
      <c r="N52" s="25" t="s">
        <v>491</v>
      </c>
      <c r="O52" s="13" t="s">
        <v>492</v>
      </c>
      <c r="P52" s="13" t="s">
        <v>33</v>
      </c>
      <c r="Q52" s="13"/>
      <c r="R52" s="13" t="s">
        <v>34</v>
      </c>
      <c r="S52" s="13" t="s">
        <v>493</v>
      </c>
      <c r="T52" s="10">
        <v>0.5</v>
      </c>
      <c r="U52" s="10">
        <v>0.5</v>
      </c>
      <c r="V52" s="10">
        <v>0.5</v>
      </c>
      <c r="W52" s="10">
        <v>0.5</v>
      </c>
      <c r="X52" s="10">
        <v>2</v>
      </c>
    </row>
    <row r="53" spans="1:24" x14ac:dyDescent="0.3">
      <c r="A53" s="13" t="s">
        <v>494</v>
      </c>
      <c r="B53" s="13" t="s">
        <v>495</v>
      </c>
      <c r="C53" s="13" t="s">
        <v>496</v>
      </c>
      <c r="D53" s="13" t="s">
        <v>497</v>
      </c>
      <c r="E53" s="13">
        <v>2025</v>
      </c>
      <c r="F53" s="13" t="s">
        <v>301</v>
      </c>
      <c r="G53" s="13">
        <v>13542</v>
      </c>
      <c r="H53" s="13"/>
      <c r="I53" s="13" t="s">
        <v>498</v>
      </c>
      <c r="J53" s="13"/>
      <c r="K53" s="13"/>
      <c r="L53" s="13">
        <v>0</v>
      </c>
      <c r="M53" s="13" t="s">
        <v>499</v>
      </c>
      <c r="N53" s="25" t="s">
        <v>500</v>
      </c>
      <c r="O53" s="13" t="s">
        <v>70</v>
      </c>
      <c r="P53" s="13" t="s">
        <v>33</v>
      </c>
      <c r="Q53" s="13"/>
      <c r="R53" s="13" t="s">
        <v>34</v>
      </c>
      <c r="S53" s="13" t="s">
        <v>501</v>
      </c>
      <c r="T53" s="10">
        <v>0.5</v>
      </c>
      <c r="U53" s="10">
        <v>0.5</v>
      </c>
      <c r="V53" s="10">
        <v>1</v>
      </c>
      <c r="W53" s="10">
        <v>1</v>
      </c>
      <c r="X53" s="10">
        <v>3</v>
      </c>
    </row>
    <row r="54" spans="1:24" x14ac:dyDescent="0.3">
      <c r="A54" s="13" t="s">
        <v>502</v>
      </c>
      <c r="B54" s="13" t="s">
        <v>503</v>
      </c>
      <c r="C54" s="13" t="s">
        <v>504</v>
      </c>
      <c r="D54" s="13" t="s">
        <v>505</v>
      </c>
      <c r="E54" s="13">
        <v>2023</v>
      </c>
      <c r="F54" s="13" t="s">
        <v>301</v>
      </c>
      <c r="G54" s="13">
        <v>12532</v>
      </c>
      <c r="H54" s="13"/>
      <c r="I54" s="13" t="s">
        <v>506</v>
      </c>
      <c r="J54" s="13"/>
      <c r="K54" s="13"/>
      <c r="L54" s="13">
        <v>5</v>
      </c>
      <c r="M54" s="13" t="s">
        <v>507</v>
      </c>
      <c r="N54" s="25" t="s">
        <v>508</v>
      </c>
      <c r="O54" s="13" t="s">
        <v>70</v>
      </c>
      <c r="P54" s="13" t="s">
        <v>33</v>
      </c>
      <c r="Q54" s="13"/>
      <c r="R54" s="13" t="s">
        <v>34</v>
      </c>
      <c r="S54" s="13" t="s">
        <v>509</v>
      </c>
      <c r="T54" s="10">
        <v>0.5</v>
      </c>
      <c r="U54" s="10">
        <v>0.5</v>
      </c>
      <c r="V54" s="10">
        <v>0.5</v>
      </c>
      <c r="W54" s="10">
        <v>0.5</v>
      </c>
      <c r="X54" s="10">
        <v>2</v>
      </c>
    </row>
    <row r="55" spans="1:24" x14ac:dyDescent="0.3">
      <c r="A55" s="13" t="s">
        <v>510</v>
      </c>
      <c r="B55" s="13" t="s">
        <v>511</v>
      </c>
      <c r="C55" s="13" t="s">
        <v>512</v>
      </c>
      <c r="D55" s="13" t="s">
        <v>513</v>
      </c>
      <c r="E55" s="13">
        <v>2022</v>
      </c>
      <c r="F55" s="13" t="s">
        <v>124</v>
      </c>
      <c r="G55" s="13">
        <v>22</v>
      </c>
      <c r="H55" s="13">
        <v>24</v>
      </c>
      <c r="I55" s="13">
        <v>9878</v>
      </c>
      <c r="J55" s="13"/>
      <c r="K55" s="13"/>
      <c r="L55" s="13">
        <v>0</v>
      </c>
      <c r="M55" s="13" t="s">
        <v>514</v>
      </c>
      <c r="N55" s="25" t="s">
        <v>515</v>
      </c>
      <c r="O55" s="13" t="s">
        <v>32</v>
      </c>
      <c r="P55" s="13" t="s">
        <v>33</v>
      </c>
      <c r="Q55" s="13" t="s">
        <v>44</v>
      </c>
      <c r="R55" s="13" t="s">
        <v>34</v>
      </c>
      <c r="S55" s="13" t="s">
        <v>516</v>
      </c>
      <c r="T55" s="10">
        <v>0.5</v>
      </c>
      <c r="U55" s="10">
        <v>0.5</v>
      </c>
      <c r="V55" s="10">
        <v>0.5</v>
      </c>
      <c r="W55" s="10">
        <v>0.5</v>
      </c>
      <c r="X55" s="10">
        <v>2</v>
      </c>
    </row>
    <row r="56" spans="1:24" x14ac:dyDescent="0.3">
      <c r="A56" s="13" t="s">
        <v>517</v>
      </c>
      <c r="B56" s="13" t="s">
        <v>518</v>
      </c>
      <c r="C56" s="13" t="s">
        <v>519</v>
      </c>
      <c r="D56" s="13" t="s">
        <v>520</v>
      </c>
      <c r="E56" s="13">
        <v>2024</v>
      </c>
      <c r="F56" s="13" t="s">
        <v>521</v>
      </c>
      <c r="G56" s="13">
        <v>134</v>
      </c>
      <c r="H56" s="13"/>
      <c r="I56" s="13">
        <v>108684</v>
      </c>
      <c r="J56" s="13"/>
      <c r="K56" s="13"/>
      <c r="L56" s="13">
        <v>33</v>
      </c>
      <c r="M56" s="13" t="s">
        <v>522</v>
      </c>
      <c r="N56" s="25" t="s">
        <v>523</v>
      </c>
      <c r="O56" s="13" t="s">
        <v>32</v>
      </c>
      <c r="P56" s="13" t="s">
        <v>33</v>
      </c>
      <c r="Q56" s="13"/>
      <c r="R56" s="13" t="s">
        <v>34</v>
      </c>
      <c r="S56" s="13" t="s">
        <v>524</v>
      </c>
      <c r="T56" s="10">
        <v>0.5</v>
      </c>
      <c r="U56" s="10">
        <v>0.5</v>
      </c>
      <c r="V56" s="10">
        <v>0.5</v>
      </c>
      <c r="W56" s="10">
        <v>0.5</v>
      </c>
      <c r="X56" s="10">
        <v>2</v>
      </c>
    </row>
    <row r="57" spans="1:24" x14ac:dyDescent="0.3">
      <c r="A57" s="13" t="s">
        <v>525</v>
      </c>
      <c r="B57" s="13" t="s">
        <v>526</v>
      </c>
      <c r="C57" s="13" t="s">
        <v>527</v>
      </c>
      <c r="D57" s="13" t="s">
        <v>528</v>
      </c>
      <c r="E57" s="13">
        <v>2024</v>
      </c>
      <c r="F57" s="13" t="s">
        <v>529</v>
      </c>
      <c r="G57" s="13">
        <v>396</v>
      </c>
      <c r="H57" s="13"/>
      <c r="I57" s="13"/>
      <c r="J57" s="13">
        <v>565</v>
      </c>
      <c r="K57" s="13">
        <v>570</v>
      </c>
      <c r="L57" s="13">
        <v>1</v>
      </c>
      <c r="M57" s="13" t="s">
        <v>530</v>
      </c>
      <c r="N57" s="25" t="s">
        <v>531</v>
      </c>
      <c r="O57" s="13" t="s">
        <v>70</v>
      </c>
      <c r="P57" s="13" t="s">
        <v>33</v>
      </c>
      <c r="Q57" s="13" t="s">
        <v>532</v>
      </c>
      <c r="R57" s="13" t="s">
        <v>34</v>
      </c>
      <c r="S57" s="13" t="s">
        <v>533</v>
      </c>
      <c r="T57" s="10">
        <v>0.5</v>
      </c>
      <c r="U57" s="10">
        <v>0.5</v>
      </c>
      <c r="V57" s="10">
        <v>0.5</v>
      </c>
      <c r="W57" s="10">
        <v>0.5</v>
      </c>
      <c r="X57" s="10">
        <v>2</v>
      </c>
    </row>
    <row r="58" spans="1:24" x14ac:dyDescent="0.3">
      <c r="A58" s="13"/>
      <c r="B58" s="13"/>
      <c r="C58" s="13"/>
      <c r="D58" s="13" t="s">
        <v>534</v>
      </c>
      <c r="E58" s="13">
        <v>2025</v>
      </c>
      <c r="F58" s="13" t="s">
        <v>535</v>
      </c>
      <c r="G58" s="13" t="s">
        <v>536</v>
      </c>
      <c r="H58" s="13"/>
      <c r="I58" s="13"/>
      <c r="J58" s="13"/>
      <c r="K58" s="13"/>
      <c r="L58" s="13">
        <v>0</v>
      </c>
      <c r="M58" s="13"/>
      <c r="N58" s="25" t="s">
        <v>537</v>
      </c>
      <c r="O58" s="13" t="s">
        <v>492</v>
      </c>
      <c r="P58" s="13" t="s">
        <v>33</v>
      </c>
      <c r="Q58" s="13"/>
      <c r="R58" s="13" t="s">
        <v>34</v>
      </c>
      <c r="S58" s="13" t="s">
        <v>538</v>
      </c>
      <c r="T58" s="10">
        <v>0.5</v>
      </c>
      <c r="U58" s="10">
        <v>0.5</v>
      </c>
      <c r="V58" s="10">
        <v>0.5</v>
      </c>
      <c r="W58" s="10">
        <v>0.5</v>
      </c>
      <c r="X58" s="10">
        <v>2</v>
      </c>
    </row>
    <row r="59" spans="1:24" x14ac:dyDescent="0.3">
      <c r="A59" s="13" t="s">
        <v>539</v>
      </c>
      <c r="B59" s="13" t="s">
        <v>540</v>
      </c>
      <c r="C59" s="13" t="s">
        <v>541</v>
      </c>
      <c r="D59" s="13" t="s">
        <v>542</v>
      </c>
      <c r="E59" s="13">
        <v>2022</v>
      </c>
      <c r="F59" s="13" t="s">
        <v>124</v>
      </c>
      <c r="G59" s="13">
        <v>22</v>
      </c>
      <c r="H59" s="13">
        <v>20</v>
      </c>
      <c r="I59" s="13">
        <v>7863</v>
      </c>
      <c r="J59" s="13"/>
      <c r="K59" s="13"/>
      <c r="L59" s="13">
        <v>17</v>
      </c>
      <c r="M59" s="13" t="s">
        <v>543</v>
      </c>
      <c r="N59" s="25" t="s">
        <v>544</v>
      </c>
      <c r="O59" s="13" t="s">
        <v>32</v>
      </c>
      <c r="P59" s="13" t="s">
        <v>33</v>
      </c>
      <c r="Q59" s="13" t="s">
        <v>44</v>
      </c>
      <c r="R59" s="13" t="s">
        <v>34</v>
      </c>
      <c r="S59" s="13" t="s">
        <v>545</v>
      </c>
      <c r="T59" s="10">
        <v>0.5</v>
      </c>
      <c r="U59" s="10">
        <v>0.5</v>
      </c>
      <c r="V59" s="10">
        <v>0.5</v>
      </c>
      <c r="W59" s="10">
        <v>0.5</v>
      </c>
      <c r="X59" s="10">
        <v>2</v>
      </c>
    </row>
    <row r="60" spans="1:24" x14ac:dyDescent="0.3">
      <c r="A60" s="13" t="s">
        <v>546</v>
      </c>
      <c r="B60" s="13" t="s">
        <v>547</v>
      </c>
      <c r="C60" s="13" t="s">
        <v>548</v>
      </c>
      <c r="D60" s="13" t="s">
        <v>549</v>
      </c>
      <c r="E60" s="13">
        <v>2023</v>
      </c>
      <c r="F60" s="13" t="s">
        <v>124</v>
      </c>
      <c r="G60" s="13">
        <v>23</v>
      </c>
      <c r="H60" s="13">
        <v>8</v>
      </c>
      <c r="I60" s="13">
        <v>3877</v>
      </c>
      <c r="J60" s="13"/>
      <c r="K60" s="13"/>
      <c r="L60" s="13">
        <v>2</v>
      </c>
      <c r="M60" s="13" t="s">
        <v>550</v>
      </c>
      <c r="N60" s="25" t="s">
        <v>551</v>
      </c>
      <c r="O60" s="13" t="s">
        <v>32</v>
      </c>
      <c r="P60" s="13" t="s">
        <v>33</v>
      </c>
      <c r="Q60" s="13" t="s">
        <v>44</v>
      </c>
      <c r="R60" s="13" t="s">
        <v>34</v>
      </c>
      <c r="S60" s="13" t="s">
        <v>552</v>
      </c>
      <c r="T60" s="10">
        <v>0.5</v>
      </c>
      <c r="U60" s="10">
        <v>0.5</v>
      </c>
      <c r="V60" s="10">
        <v>0.5</v>
      </c>
      <c r="W60" s="10">
        <v>0.5</v>
      </c>
      <c r="X60" s="10">
        <v>2</v>
      </c>
    </row>
    <row r="61" spans="1:24" x14ac:dyDescent="0.3">
      <c r="A61" s="13" t="s">
        <v>553</v>
      </c>
      <c r="B61" s="13" t="s">
        <v>554</v>
      </c>
      <c r="C61" s="13" t="s">
        <v>555</v>
      </c>
      <c r="D61" s="13" t="s">
        <v>556</v>
      </c>
      <c r="E61" s="13">
        <v>2024</v>
      </c>
      <c r="F61" s="13" t="s">
        <v>557</v>
      </c>
      <c r="G61" s="13"/>
      <c r="H61" s="13"/>
      <c r="I61" s="13"/>
      <c r="J61" s="13"/>
      <c r="K61" s="13"/>
      <c r="L61" s="13">
        <v>2</v>
      </c>
      <c r="M61" s="13" t="s">
        <v>558</v>
      </c>
      <c r="N61" s="25" t="s">
        <v>559</v>
      </c>
      <c r="O61" s="13" t="s">
        <v>70</v>
      </c>
      <c r="P61" s="13" t="s">
        <v>33</v>
      </c>
      <c r="Q61" s="13"/>
      <c r="R61" s="13" t="s">
        <v>34</v>
      </c>
      <c r="S61" s="13" t="s">
        <v>560</v>
      </c>
      <c r="T61" s="10">
        <v>0.5</v>
      </c>
      <c r="U61" s="10">
        <v>0.5</v>
      </c>
      <c r="V61" s="10">
        <v>0.5</v>
      </c>
      <c r="W61" s="10">
        <v>0.5</v>
      </c>
      <c r="X61" s="10">
        <v>2</v>
      </c>
    </row>
    <row r="62" spans="1:24" x14ac:dyDescent="0.3">
      <c r="A62" s="13" t="s">
        <v>561</v>
      </c>
      <c r="B62" s="13" t="s">
        <v>562</v>
      </c>
      <c r="C62" s="13" t="s">
        <v>563</v>
      </c>
      <c r="D62" s="13" t="s">
        <v>564</v>
      </c>
      <c r="E62" s="13">
        <v>2023</v>
      </c>
      <c r="F62" s="13" t="s">
        <v>565</v>
      </c>
      <c r="G62" s="13">
        <v>10</v>
      </c>
      <c r="H62" s="13"/>
      <c r="I62" s="13">
        <v>1218174</v>
      </c>
      <c r="J62" s="13"/>
      <c r="K62" s="13"/>
      <c r="L62" s="13">
        <v>3</v>
      </c>
      <c r="M62" s="13" t="s">
        <v>566</v>
      </c>
      <c r="N62" s="25" t="s">
        <v>567</v>
      </c>
      <c r="O62" s="13" t="s">
        <v>32</v>
      </c>
      <c r="P62" s="13" t="s">
        <v>33</v>
      </c>
      <c r="Q62" s="13" t="s">
        <v>44</v>
      </c>
      <c r="R62" s="13" t="s">
        <v>34</v>
      </c>
      <c r="S62" s="13" t="s">
        <v>568</v>
      </c>
      <c r="T62" s="10">
        <v>0.5</v>
      </c>
      <c r="U62" s="10">
        <v>0.5</v>
      </c>
      <c r="V62" s="10">
        <v>0.5</v>
      </c>
      <c r="W62" s="10">
        <v>0.5</v>
      </c>
      <c r="X62" s="10">
        <v>2</v>
      </c>
    </row>
    <row r="63" spans="1:24" x14ac:dyDescent="0.3">
      <c r="A63" s="13" t="s">
        <v>569</v>
      </c>
      <c r="B63" s="13" t="s">
        <v>570</v>
      </c>
      <c r="C63" s="13" t="s">
        <v>571</v>
      </c>
      <c r="D63" s="13" t="s">
        <v>572</v>
      </c>
      <c r="E63" s="13">
        <v>2025</v>
      </c>
      <c r="F63" s="13" t="s">
        <v>301</v>
      </c>
      <c r="G63" s="13">
        <v>13654</v>
      </c>
      <c r="H63" s="13"/>
      <c r="I63" s="13" t="s">
        <v>573</v>
      </c>
      <c r="J63" s="13"/>
      <c r="K63" s="13"/>
      <c r="L63" s="13">
        <v>0</v>
      </c>
      <c r="M63" s="13" t="s">
        <v>574</v>
      </c>
      <c r="N63" s="25" t="s">
        <v>575</v>
      </c>
      <c r="O63" s="13" t="s">
        <v>70</v>
      </c>
      <c r="P63" s="13" t="s">
        <v>33</v>
      </c>
      <c r="Q63" s="13"/>
      <c r="R63" s="13" t="s">
        <v>34</v>
      </c>
      <c r="S63" s="13" t="s">
        <v>576</v>
      </c>
      <c r="T63" s="10">
        <v>0.5</v>
      </c>
      <c r="U63" s="10">
        <v>1</v>
      </c>
      <c r="V63" s="10">
        <v>1</v>
      </c>
      <c r="W63" s="10">
        <v>0.5</v>
      </c>
      <c r="X63" s="10">
        <v>3</v>
      </c>
    </row>
    <row r="64" spans="1:24" x14ac:dyDescent="0.3">
      <c r="A64" s="13" t="s">
        <v>580</v>
      </c>
      <c r="B64" s="13" t="s">
        <v>581</v>
      </c>
      <c r="C64" s="13" t="s">
        <v>582</v>
      </c>
      <c r="D64" s="13" t="s">
        <v>583</v>
      </c>
      <c r="E64" s="13">
        <v>2023</v>
      </c>
      <c r="F64" s="13" t="s">
        <v>584</v>
      </c>
      <c r="G64" s="13">
        <v>11</v>
      </c>
      <c r="H64" s="13"/>
      <c r="I64" s="13"/>
      <c r="J64" s="13">
        <v>138759</v>
      </c>
      <c r="K64" s="13">
        <v>138772</v>
      </c>
      <c r="L64" s="13">
        <v>15</v>
      </c>
      <c r="M64" s="13" t="s">
        <v>585</v>
      </c>
      <c r="N64" s="25" t="s">
        <v>586</v>
      </c>
      <c r="O64" s="13" t="s">
        <v>32</v>
      </c>
      <c r="P64" s="13" t="s">
        <v>33</v>
      </c>
      <c r="Q64" s="13" t="s">
        <v>44</v>
      </c>
      <c r="R64" s="13" t="s">
        <v>34</v>
      </c>
      <c r="S64" s="13" t="s">
        <v>587</v>
      </c>
      <c r="T64" s="10">
        <v>0.5</v>
      </c>
      <c r="U64" s="10">
        <v>0.5</v>
      </c>
      <c r="V64" s="10">
        <v>0.5</v>
      </c>
      <c r="W64" s="10">
        <v>1</v>
      </c>
      <c r="X64" s="10">
        <v>2.5</v>
      </c>
    </row>
    <row r="65" spans="1:24" x14ac:dyDescent="0.3">
      <c r="A65" s="13" t="s">
        <v>588</v>
      </c>
      <c r="B65" s="13" t="s">
        <v>589</v>
      </c>
      <c r="C65" s="13" t="s">
        <v>590</v>
      </c>
      <c r="D65" s="13" t="s">
        <v>591</v>
      </c>
      <c r="E65" s="13">
        <v>2025</v>
      </c>
      <c r="F65" s="13" t="s">
        <v>592</v>
      </c>
      <c r="G65" s="13"/>
      <c r="H65" s="13"/>
      <c r="I65" s="13"/>
      <c r="J65" s="13"/>
      <c r="K65" s="13"/>
      <c r="L65" s="13">
        <v>0</v>
      </c>
      <c r="M65" s="13" t="s">
        <v>593</v>
      </c>
      <c r="N65" s="25" t="s">
        <v>594</v>
      </c>
      <c r="O65" s="13" t="s">
        <v>70</v>
      </c>
      <c r="P65" s="13" t="s">
        <v>33</v>
      </c>
      <c r="Q65" s="13"/>
      <c r="R65" s="13" t="s">
        <v>34</v>
      </c>
      <c r="S65" s="13" t="s">
        <v>595</v>
      </c>
      <c r="T65" s="10">
        <v>0.5</v>
      </c>
      <c r="U65" s="10">
        <v>0.5</v>
      </c>
      <c r="V65" s="10">
        <v>0.5</v>
      </c>
      <c r="W65" s="10">
        <v>0.5</v>
      </c>
      <c r="X65" s="10">
        <v>2</v>
      </c>
    </row>
    <row r="66" spans="1:24" x14ac:dyDescent="0.3">
      <c r="A66" s="13" t="s">
        <v>596</v>
      </c>
      <c r="B66" s="13" t="s">
        <v>597</v>
      </c>
      <c r="C66" s="13" t="s">
        <v>598</v>
      </c>
      <c r="D66" s="13" t="s">
        <v>599</v>
      </c>
      <c r="E66" s="13">
        <v>2025</v>
      </c>
      <c r="F66" s="13" t="s">
        <v>83</v>
      </c>
      <c r="G66" s="13">
        <v>17</v>
      </c>
      <c r="H66" s="13">
        <v>18</v>
      </c>
      <c r="I66" s="13">
        <v>8493</v>
      </c>
      <c r="J66" s="13"/>
      <c r="K66" s="13"/>
      <c r="L66" s="13">
        <v>1</v>
      </c>
      <c r="M66" s="13" t="s">
        <v>600</v>
      </c>
      <c r="N66" s="25" t="s">
        <v>601</v>
      </c>
      <c r="O66" s="13" t="s">
        <v>32</v>
      </c>
      <c r="P66" s="13" t="s">
        <v>33</v>
      </c>
      <c r="Q66" s="13" t="s">
        <v>44</v>
      </c>
      <c r="R66" s="13" t="s">
        <v>34</v>
      </c>
      <c r="S66" s="13" t="s">
        <v>602</v>
      </c>
      <c r="T66" s="10">
        <v>0.5</v>
      </c>
      <c r="U66" s="10">
        <v>0.5</v>
      </c>
      <c r="V66" s="10">
        <v>0.5</v>
      </c>
      <c r="W66" s="10">
        <v>0.5</v>
      </c>
      <c r="X66" s="10">
        <v>2</v>
      </c>
    </row>
    <row r="67" spans="1:24" x14ac:dyDescent="0.3">
      <c r="A67" s="13" t="s">
        <v>603</v>
      </c>
      <c r="B67" s="13" t="s">
        <v>604</v>
      </c>
      <c r="C67" s="13" t="s">
        <v>605</v>
      </c>
      <c r="D67" s="13" t="s">
        <v>606</v>
      </c>
      <c r="E67" s="13">
        <v>2025</v>
      </c>
      <c r="F67" s="13" t="s">
        <v>301</v>
      </c>
      <c r="G67" s="13">
        <v>13733</v>
      </c>
      <c r="H67" s="13"/>
      <c r="I67" s="13" t="s">
        <v>607</v>
      </c>
      <c r="J67" s="13"/>
      <c r="K67" s="13"/>
      <c r="L67" s="13">
        <v>0</v>
      </c>
      <c r="M67" s="13" t="s">
        <v>608</v>
      </c>
      <c r="N67" s="25" t="s">
        <v>609</v>
      </c>
      <c r="O67" s="13" t="s">
        <v>70</v>
      </c>
      <c r="P67" s="13" t="s">
        <v>33</v>
      </c>
      <c r="Q67" s="13"/>
      <c r="R67" s="13" t="s">
        <v>34</v>
      </c>
      <c r="S67" s="13" t="s">
        <v>610</v>
      </c>
      <c r="T67" s="10">
        <v>0.5</v>
      </c>
      <c r="U67" s="10">
        <v>0.5</v>
      </c>
      <c r="V67" s="10">
        <v>0.5</v>
      </c>
      <c r="W67" s="10">
        <v>0.5</v>
      </c>
      <c r="X67" s="10">
        <v>2</v>
      </c>
    </row>
    <row r="68" spans="1:24" x14ac:dyDescent="0.3">
      <c r="A68" s="13" t="s">
        <v>611</v>
      </c>
      <c r="B68" s="13" t="s">
        <v>612</v>
      </c>
      <c r="C68" s="13" t="s">
        <v>613</v>
      </c>
      <c r="D68" s="13" t="s">
        <v>614</v>
      </c>
      <c r="E68" s="13">
        <v>2024</v>
      </c>
      <c r="F68" s="13" t="s">
        <v>124</v>
      </c>
      <c r="G68" s="13">
        <v>24</v>
      </c>
      <c r="H68" s="13">
        <v>21</v>
      </c>
      <c r="I68" s="13">
        <v>6978</v>
      </c>
      <c r="J68" s="13"/>
      <c r="K68" s="13"/>
      <c r="L68" s="13">
        <v>2</v>
      </c>
      <c r="M68" s="13" t="s">
        <v>615</v>
      </c>
      <c r="N68" s="25" t="s">
        <v>616</v>
      </c>
      <c r="O68" s="13" t="s">
        <v>32</v>
      </c>
      <c r="P68" s="13" t="s">
        <v>33</v>
      </c>
      <c r="Q68" s="13" t="s">
        <v>44</v>
      </c>
      <c r="R68" s="13" t="s">
        <v>34</v>
      </c>
      <c r="S68" s="13" t="s">
        <v>617</v>
      </c>
      <c r="T68" s="10">
        <v>0.5</v>
      </c>
      <c r="U68" s="10">
        <v>0.5</v>
      </c>
      <c r="V68" s="10">
        <v>1</v>
      </c>
      <c r="W68" s="10">
        <v>0.5</v>
      </c>
      <c r="X68" s="10">
        <v>2.5</v>
      </c>
    </row>
    <row r="69" spans="1:24" x14ac:dyDescent="0.3">
      <c r="A69" s="28" t="s">
        <v>622</v>
      </c>
      <c r="B69" s="28" t="s">
        <v>623</v>
      </c>
      <c r="C69" s="28" t="s">
        <v>624</v>
      </c>
      <c r="D69" s="28" t="s">
        <v>625</v>
      </c>
      <c r="E69" s="28">
        <v>2024</v>
      </c>
      <c r="F69" s="28" t="s">
        <v>626</v>
      </c>
      <c r="G69" s="28"/>
      <c r="H69" s="28"/>
      <c r="I69" s="28"/>
      <c r="J69" s="28"/>
      <c r="K69" s="28"/>
      <c r="L69" s="28">
        <v>0</v>
      </c>
      <c r="M69" s="28" t="s">
        <v>627</v>
      </c>
      <c r="N69" s="31" t="s">
        <v>628</v>
      </c>
      <c r="O69" s="28" t="s">
        <v>70</v>
      </c>
      <c r="P69" s="28" t="s">
        <v>33</v>
      </c>
      <c r="Q69" s="28"/>
      <c r="R69" s="28" t="s">
        <v>34</v>
      </c>
      <c r="S69" s="28" t="s">
        <v>629</v>
      </c>
      <c r="T69" s="28">
        <v>1</v>
      </c>
      <c r="U69" s="28">
        <v>1</v>
      </c>
      <c r="V69" s="28">
        <v>1</v>
      </c>
      <c r="W69" s="28">
        <v>1</v>
      </c>
      <c r="X69" s="7">
        <v>4</v>
      </c>
    </row>
    <row r="70" spans="1:24" x14ac:dyDescent="0.3">
      <c r="A70" s="13" t="s">
        <v>630</v>
      </c>
      <c r="B70" s="13" t="s">
        <v>631</v>
      </c>
      <c r="C70" s="13" t="s">
        <v>632</v>
      </c>
      <c r="D70" s="13" t="s">
        <v>633</v>
      </c>
      <c r="E70" s="13">
        <v>2023</v>
      </c>
      <c r="F70" s="13" t="s">
        <v>634</v>
      </c>
      <c r="G70" s="13">
        <v>155</v>
      </c>
      <c r="H70" s="13"/>
      <c r="I70" s="13">
        <v>105223</v>
      </c>
      <c r="J70" s="13"/>
      <c r="K70" s="13"/>
      <c r="L70" s="13">
        <v>10</v>
      </c>
      <c r="M70" s="13" t="s">
        <v>635</v>
      </c>
      <c r="N70" s="25" t="s">
        <v>636</v>
      </c>
      <c r="O70" s="13" t="s">
        <v>32</v>
      </c>
      <c r="P70" s="13" t="s">
        <v>33</v>
      </c>
      <c r="Q70" s="13" t="s">
        <v>532</v>
      </c>
      <c r="R70" s="13" t="s">
        <v>34</v>
      </c>
      <c r="S70" s="13" t="s">
        <v>637</v>
      </c>
      <c r="T70" s="10">
        <v>0.5</v>
      </c>
      <c r="U70" s="10">
        <v>0.5</v>
      </c>
      <c r="V70" s="10">
        <v>0.5</v>
      </c>
      <c r="W70" s="10">
        <v>0.5</v>
      </c>
      <c r="X70" s="10">
        <v>2</v>
      </c>
    </row>
    <row r="71" spans="1:24" x14ac:dyDescent="0.3">
      <c r="A71" s="13" t="s">
        <v>638</v>
      </c>
      <c r="B71" s="13" t="s">
        <v>639</v>
      </c>
      <c r="C71" s="13" t="s">
        <v>640</v>
      </c>
      <c r="D71" s="13" t="s">
        <v>641</v>
      </c>
      <c r="E71" s="13">
        <v>2025</v>
      </c>
      <c r="F71" s="13" t="s">
        <v>301</v>
      </c>
      <c r="G71" s="13">
        <v>13435</v>
      </c>
      <c r="H71" s="13"/>
      <c r="I71" s="13">
        <v>1343514</v>
      </c>
      <c r="J71" s="13"/>
      <c r="K71" s="13"/>
      <c r="L71" s="13">
        <v>0</v>
      </c>
      <c r="M71" s="13" t="s">
        <v>642</v>
      </c>
      <c r="N71" s="25" t="s">
        <v>643</v>
      </c>
      <c r="O71" s="13" t="s">
        <v>70</v>
      </c>
      <c r="P71" s="13" t="s">
        <v>33</v>
      </c>
      <c r="Q71" s="13"/>
      <c r="R71" s="13" t="s">
        <v>34</v>
      </c>
      <c r="S71" s="13" t="s">
        <v>644</v>
      </c>
      <c r="T71" s="10">
        <v>0.5</v>
      </c>
      <c r="U71" s="10">
        <v>0.5</v>
      </c>
      <c r="V71" s="10">
        <v>0.5</v>
      </c>
      <c r="W71" s="10">
        <v>0.5</v>
      </c>
      <c r="X71" s="10">
        <v>2</v>
      </c>
    </row>
    <row r="72" spans="1:24" x14ac:dyDescent="0.3">
      <c r="A72" s="13" t="s">
        <v>645</v>
      </c>
      <c r="B72" s="13" t="s">
        <v>646</v>
      </c>
      <c r="C72" s="13" t="s">
        <v>647</v>
      </c>
      <c r="D72" s="13" t="s">
        <v>648</v>
      </c>
      <c r="E72" s="13">
        <v>2024</v>
      </c>
      <c r="F72" s="13" t="s">
        <v>649</v>
      </c>
      <c r="G72" s="13"/>
      <c r="H72" s="13"/>
      <c r="I72" s="13"/>
      <c r="J72" s="13"/>
      <c r="K72" s="13"/>
      <c r="L72" s="13">
        <v>1</v>
      </c>
      <c r="M72" s="13" t="s">
        <v>650</v>
      </c>
      <c r="N72" s="25" t="s">
        <v>651</v>
      </c>
      <c r="O72" s="13" t="s">
        <v>70</v>
      </c>
      <c r="P72" s="13" t="s">
        <v>33</v>
      </c>
      <c r="Q72" s="13"/>
      <c r="R72" s="13" t="s">
        <v>34</v>
      </c>
      <c r="S72" s="13" t="s">
        <v>652</v>
      </c>
      <c r="T72" s="10">
        <v>0.5</v>
      </c>
      <c r="U72" s="10">
        <v>0.5</v>
      </c>
      <c r="V72" s="10">
        <v>0.5</v>
      </c>
      <c r="W72" s="10">
        <v>0.5</v>
      </c>
      <c r="X72" s="10">
        <v>2</v>
      </c>
    </row>
    <row r="73" spans="1:24" x14ac:dyDescent="0.3">
      <c r="A73" s="13" t="s">
        <v>653</v>
      </c>
      <c r="B73" s="13" t="s">
        <v>654</v>
      </c>
      <c r="C73" s="13" t="s">
        <v>655</v>
      </c>
      <c r="D73" s="13" t="s">
        <v>656</v>
      </c>
      <c r="E73" s="13">
        <v>2024</v>
      </c>
      <c r="F73" s="13" t="s">
        <v>657</v>
      </c>
      <c r="G73" s="13">
        <v>190</v>
      </c>
      <c r="H73" s="13"/>
      <c r="I73" s="13">
        <v>105625</v>
      </c>
      <c r="J73" s="13"/>
      <c r="K73" s="13"/>
      <c r="L73" s="13">
        <v>8</v>
      </c>
      <c r="M73" s="13" t="s">
        <v>658</v>
      </c>
      <c r="N73" s="25" t="s">
        <v>659</v>
      </c>
      <c r="O73" s="13" t="s">
        <v>32</v>
      </c>
      <c r="P73" s="13" t="s">
        <v>33</v>
      </c>
      <c r="Q73" s="13"/>
      <c r="R73" s="13" t="s">
        <v>34</v>
      </c>
      <c r="S73" s="13" t="s">
        <v>660</v>
      </c>
      <c r="T73" s="10">
        <v>0.5</v>
      </c>
      <c r="U73" s="10">
        <v>0.5</v>
      </c>
      <c r="V73" s="10">
        <v>0.5</v>
      </c>
      <c r="W73" s="10">
        <v>0.5</v>
      </c>
      <c r="X73" s="10">
        <v>2</v>
      </c>
    </row>
    <row r="74" spans="1:24" x14ac:dyDescent="0.3">
      <c r="A74" s="13" t="s">
        <v>661</v>
      </c>
      <c r="B74" s="13" t="s">
        <v>662</v>
      </c>
      <c r="C74" s="13" t="s">
        <v>663</v>
      </c>
      <c r="D74" s="13" t="s">
        <v>664</v>
      </c>
      <c r="E74" s="13">
        <v>2024</v>
      </c>
      <c r="F74" s="13" t="s">
        <v>665</v>
      </c>
      <c r="G74" s="13"/>
      <c r="H74" s="13"/>
      <c r="I74" s="13"/>
      <c r="J74" s="13">
        <v>672</v>
      </c>
      <c r="K74" s="13">
        <v>677</v>
      </c>
      <c r="L74" s="13">
        <v>1</v>
      </c>
      <c r="M74" s="13" t="s">
        <v>666</v>
      </c>
      <c r="N74" s="25" t="s">
        <v>667</v>
      </c>
      <c r="O74" s="13" t="s">
        <v>70</v>
      </c>
      <c r="P74" s="13" t="s">
        <v>33</v>
      </c>
      <c r="Q74" s="13"/>
      <c r="R74" s="13" t="s">
        <v>34</v>
      </c>
      <c r="S74" s="13" t="s">
        <v>668</v>
      </c>
      <c r="T74" s="10">
        <v>0.5</v>
      </c>
      <c r="U74" s="10">
        <v>0.5</v>
      </c>
      <c r="V74" s="10">
        <v>0.5</v>
      </c>
      <c r="W74" s="10">
        <v>0.5</v>
      </c>
      <c r="X74" s="10">
        <v>2</v>
      </c>
    </row>
    <row r="75" spans="1:24" x14ac:dyDescent="0.3">
      <c r="A75" s="13"/>
      <c r="B75" s="13"/>
      <c r="C75" s="13"/>
      <c r="D75" s="13" t="s">
        <v>669</v>
      </c>
      <c r="E75" s="13">
        <v>2025</v>
      </c>
      <c r="F75" s="13" t="s">
        <v>301</v>
      </c>
      <c r="G75" s="13">
        <v>13619</v>
      </c>
      <c r="H75" s="13"/>
      <c r="I75" s="13"/>
      <c r="J75" s="13"/>
      <c r="K75" s="13"/>
      <c r="L75" s="13">
        <v>0</v>
      </c>
      <c r="M75" s="13"/>
      <c r="N75" s="25" t="s">
        <v>670</v>
      </c>
      <c r="O75" s="13" t="s">
        <v>492</v>
      </c>
      <c r="P75" s="13" t="s">
        <v>33</v>
      </c>
      <c r="Q75" s="13"/>
      <c r="R75" s="13" t="s">
        <v>34</v>
      </c>
      <c r="S75" s="13" t="s">
        <v>671</v>
      </c>
      <c r="T75" s="10">
        <v>0.5</v>
      </c>
      <c r="U75" s="10">
        <v>0.5</v>
      </c>
      <c r="V75" s="10">
        <v>0.5</v>
      </c>
      <c r="W75" s="10">
        <v>0.5</v>
      </c>
      <c r="X75" s="10">
        <v>2</v>
      </c>
    </row>
    <row r="76" spans="1:24" x14ac:dyDescent="0.3">
      <c r="A76" s="13" t="s">
        <v>917</v>
      </c>
      <c r="B76" s="13" t="s">
        <v>916</v>
      </c>
      <c r="C76" s="13" t="s">
        <v>915</v>
      </c>
      <c r="D76" s="13" t="s">
        <v>914</v>
      </c>
      <c r="E76" s="13">
        <v>2022</v>
      </c>
      <c r="F76" s="13" t="s">
        <v>894</v>
      </c>
      <c r="G76" s="13"/>
      <c r="H76" s="13"/>
      <c r="I76" s="13"/>
      <c r="J76" s="13">
        <v>147</v>
      </c>
      <c r="K76" s="13">
        <v>154</v>
      </c>
      <c r="L76" s="13">
        <v>1</v>
      </c>
      <c r="M76" s="13" t="s">
        <v>913</v>
      </c>
      <c r="N76" s="25" t="s">
        <v>912</v>
      </c>
      <c r="O76" s="13" t="s">
        <v>70</v>
      </c>
      <c r="P76" s="13" t="s">
        <v>33</v>
      </c>
      <c r="Q76" s="13"/>
      <c r="R76" s="13" t="s">
        <v>34</v>
      </c>
      <c r="S76" s="13" t="s">
        <v>911</v>
      </c>
      <c r="T76" s="10">
        <v>0.5</v>
      </c>
      <c r="U76" s="10">
        <v>0.5</v>
      </c>
      <c r="V76" s="10">
        <v>0.5</v>
      </c>
      <c r="W76" s="10">
        <v>0.5</v>
      </c>
      <c r="X76" s="10">
        <v>2</v>
      </c>
    </row>
    <row r="77" spans="1:24" x14ac:dyDescent="0.3">
      <c r="A77" s="13" t="s">
        <v>910</v>
      </c>
      <c r="B77" s="13" t="s">
        <v>909</v>
      </c>
      <c r="C77" s="13" t="s">
        <v>908</v>
      </c>
      <c r="D77" s="13" t="s">
        <v>907</v>
      </c>
      <c r="E77" s="13">
        <v>2021</v>
      </c>
      <c r="F77" s="13" t="s">
        <v>906</v>
      </c>
      <c r="G77" s="13">
        <v>21</v>
      </c>
      <c r="H77" s="13">
        <v>3</v>
      </c>
      <c r="I77" s="13">
        <v>742</v>
      </c>
      <c r="J77" s="13">
        <v>1</v>
      </c>
      <c r="K77" s="13">
        <v>23</v>
      </c>
      <c r="L77" s="13">
        <v>240</v>
      </c>
      <c r="M77" s="13" t="s">
        <v>905</v>
      </c>
      <c r="N77" s="25" t="s">
        <v>904</v>
      </c>
      <c r="O77" s="13" t="s">
        <v>32</v>
      </c>
      <c r="P77" s="13" t="s">
        <v>33</v>
      </c>
      <c r="Q77" s="13" t="s">
        <v>44</v>
      </c>
      <c r="R77" s="13" t="s">
        <v>34</v>
      </c>
      <c r="S77" s="13" t="s">
        <v>903</v>
      </c>
      <c r="T77" s="10">
        <v>0.5</v>
      </c>
      <c r="U77" s="10">
        <v>0.5</v>
      </c>
      <c r="V77" s="10">
        <v>0.5</v>
      </c>
      <c r="W77" s="10">
        <v>0.5</v>
      </c>
      <c r="X77" s="10">
        <v>2</v>
      </c>
    </row>
    <row r="78" spans="1:24" x14ac:dyDescent="0.3">
      <c r="A78" s="13" t="s">
        <v>686</v>
      </c>
      <c r="B78" s="13" t="s">
        <v>685</v>
      </c>
      <c r="C78" s="13" t="s">
        <v>684</v>
      </c>
      <c r="D78" s="13" t="s">
        <v>902</v>
      </c>
      <c r="E78" s="13">
        <v>2024</v>
      </c>
      <c r="F78" s="13" t="s">
        <v>124</v>
      </c>
      <c r="G78" s="13">
        <v>24</v>
      </c>
      <c r="H78" s="13">
        <v>2</v>
      </c>
      <c r="I78" s="13">
        <v>430</v>
      </c>
      <c r="J78" s="13"/>
      <c r="K78" s="13"/>
      <c r="L78" s="13">
        <v>8</v>
      </c>
      <c r="M78" s="13" t="s">
        <v>901</v>
      </c>
      <c r="N78" s="25" t="s">
        <v>900</v>
      </c>
      <c r="O78" s="13" t="s">
        <v>32</v>
      </c>
      <c r="P78" s="13" t="s">
        <v>33</v>
      </c>
      <c r="Q78" s="13" t="s">
        <v>44</v>
      </c>
      <c r="R78" s="13" t="s">
        <v>34</v>
      </c>
      <c r="S78" s="13" t="s">
        <v>899</v>
      </c>
      <c r="T78" s="10">
        <v>0.5</v>
      </c>
      <c r="U78" s="10">
        <v>1</v>
      </c>
      <c r="V78" s="10">
        <v>0.5</v>
      </c>
      <c r="W78" s="10">
        <v>1</v>
      </c>
      <c r="X78" s="10">
        <v>2.5</v>
      </c>
    </row>
    <row r="79" spans="1:24" x14ac:dyDescent="0.3">
      <c r="A79" s="13" t="s">
        <v>898</v>
      </c>
      <c r="B79" s="13" t="s">
        <v>897</v>
      </c>
      <c r="C79" s="13" t="s">
        <v>896</v>
      </c>
      <c r="D79" s="13" t="s">
        <v>895</v>
      </c>
      <c r="E79" s="13">
        <v>2022</v>
      </c>
      <c r="F79" s="13" t="s">
        <v>894</v>
      </c>
      <c r="G79" s="13"/>
      <c r="H79" s="13"/>
      <c r="I79" s="13"/>
      <c r="J79" s="13">
        <v>169</v>
      </c>
      <c r="K79" s="13">
        <v>181</v>
      </c>
      <c r="L79" s="13">
        <v>0</v>
      </c>
      <c r="M79" s="13" t="s">
        <v>893</v>
      </c>
      <c r="N79" s="25" t="s">
        <v>892</v>
      </c>
      <c r="O79" s="13" t="s">
        <v>70</v>
      </c>
      <c r="P79" s="13" t="s">
        <v>33</v>
      </c>
      <c r="Q79" s="13"/>
      <c r="R79" s="13" t="s">
        <v>34</v>
      </c>
      <c r="S79" s="13" t="s">
        <v>891</v>
      </c>
      <c r="T79" s="10">
        <v>0.5</v>
      </c>
      <c r="U79" s="10">
        <v>0.5</v>
      </c>
      <c r="V79" s="10">
        <v>0.5</v>
      </c>
      <c r="W79" s="10">
        <v>0.5</v>
      </c>
      <c r="X79" s="10">
        <v>2</v>
      </c>
    </row>
    <row r="80" spans="1:24" x14ac:dyDescent="0.3">
      <c r="A80" s="13" t="s">
        <v>890</v>
      </c>
      <c r="B80" s="13" t="s">
        <v>889</v>
      </c>
      <c r="C80" s="13" t="s">
        <v>888</v>
      </c>
      <c r="D80" s="13" t="s">
        <v>887</v>
      </c>
      <c r="E80" s="13">
        <v>2024</v>
      </c>
      <c r="F80" s="13" t="s">
        <v>886</v>
      </c>
      <c r="G80" s="13"/>
      <c r="H80" s="13"/>
      <c r="I80" s="13"/>
      <c r="J80" s="13">
        <v>140</v>
      </c>
      <c r="K80" s="13">
        <v>145</v>
      </c>
      <c r="L80" s="13">
        <v>1</v>
      </c>
      <c r="M80" s="13" t="s">
        <v>885</v>
      </c>
      <c r="N80" s="25" t="s">
        <v>884</v>
      </c>
      <c r="O80" s="13" t="s">
        <v>70</v>
      </c>
      <c r="P80" s="13" t="s">
        <v>33</v>
      </c>
      <c r="Q80" s="13"/>
      <c r="R80" s="13" t="s">
        <v>34</v>
      </c>
      <c r="S80" s="13" t="s">
        <v>883</v>
      </c>
      <c r="T80" s="10">
        <v>0.5</v>
      </c>
      <c r="U80" s="10">
        <v>0.5</v>
      </c>
      <c r="V80" s="10">
        <v>0.5</v>
      </c>
      <c r="W80" s="10">
        <v>0.5</v>
      </c>
      <c r="X80" s="10">
        <v>2</v>
      </c>
    </row>
    <row r="81" spans="1:24" x14ac:dyDescent="0.3">
      <c r="A81" s="13" t="s">
        <v>882</v>
      </c>
      <c r="B81" s="13" t="s">
        <v>881</v>
      </c>
      <c r="C81" s="13" t="s">
        <v>880</v>
      </c>
      <c r="D81" s="13" t="s">
        <v>879</v>
      </c>
      <c r="E81" s="13">
        <v>2022</v>
      </c>
      <c r="F81" s="13" t="s">
        <v>675</v>
      </c>
      <c r="G81" s="13">
        <v>70</v>
      </c>
      <c r="H81" s="13">
        <v>9</v>
      </c>
      <c r="I81" s="13"/>
      <c r="J81" s="13">
        <v>777</v>
      </c>
      <c r="K81" s="13">
        <v>786</v>
      </c>
      <c r="L81" s="13">
        <v>11</v>
      </c>
      <c r="M81" s="13" t="s">
        <v>878</v>
      </c>
      <c r="N81" s="25" t="s">
        <v>877</v>
      </c>
      <c r="O81" s="13" t="s">
        <v>32</v>
      </c>
      <c r="P81" s="13" t="s">
        <v>33</v>
      </c>
      <c r="Q81" s="13" t="s">
        <v>280</v>
      </c>
      <c r="R81" s="13" t="s">
        <v>34</v>
      </c>
      <c r="S81" s="13" t="s">
        <v>876</v>
      </c>
      <c r="T81" s="10">
        <v>0.5</v>
      </c>
      <c r="U81" s="10">
        <v>0.5</v>
      </c>
      <c r="V81" s="10">
        <v>0.5</v>
      </c>
      <c r="W81" s="10">
        <v>0.5</v>
      </c>
      <c r="X81" s="10">
        <v>2</v>
      </c>
    </row>
    <row r="82" spans="1:24" x14ac:dyDescent="0.3">
      <c r="A82" s="13" t="s">
        <v>875</v>
      </c>
      <c r="B82" s="13" t="s">
        <v>874</v>
      </c>
      <c r="C82" s="13" t="s">
        <v>873</v>
      </c>
      <c r="D82" s="13" t="s">
        <v>872</v>
      </c>
      <c r="E82" s="13">
        <v>2022</v>
      </c>
      <c r="F82" s="13" t="s">
        <v>871</v>
      </c>
      <c r="G82" s="13">
        <v>14</v>
      </c>
      <c r="H82" s="13">
        <v>1</v>
      </c>
      <c r="I82" s="13"/>
      <c r="J82" s="13">
        <v>51</v>
      </c>
      <c r="K82" s="13">
        <v>54</v>
      </c>
      <c r="L82" s="13">
        <v>9</v>
      </c>
      <c r="M82" s="13" t="s">
        <v>870</v>
      </c>
      <c r="N82" s="25" t="s">
        <v>869</v>
      </c>
      <c r="O82" s="13" t="s">
        <v>32</v>
      </c>
      <c r="P82" s="13" t="s">
        <v>33</v>
      </c>
      <c r="Q82" s="13" t="s">
        <v>403</v>
      </c>
      <c r="R82" s="13" t="s">
        <v>34</v>
      </c>
      <c r="S82" s="13" t="s">
        <v>868</v>
      </c>
      <c r="T82" s="10">
        <v>0.5</v>
      </c>
      <c r="U82" s="10">
        <v>0.5</v>
      </c>
      <c r="V82" s="10">
        <v>1</v>
      </c>
      <c r="W82" s="10">
        <v>0.5</v>
      </c>
      <c r="X82" s="10">
        <v>2.5</v>
      </c>
    </row>
    <row r="83" spans="1:24" x14ac:dyDescent="0.3">
      <c r="A83" s="13" t="s">
        <v>867</v>
      </c>
      <c r="B83" s="13" t="s">
        <v>866</v>
      </c>
      <c r="C83" s="13" t="s">
        <v>865</v>
      </c>
      <c r="D83" s="13" t="s">
        <v>864</v>
      </c>
      <c r="E83" s="13">
        <v>2024</v>
      </c>
      <c r="F83" s="13" t="s">
        <v>863</v>
      </c>
      <c r="G83" s="13">
        <v>6</v>
      </c>
      <c r="H83" s="13">
        <v>4</v>
      </c>
      <c r="I83" s="13" t="s">
        <v>862</v>
      </c>
      <c r="J83" s="13"/>
      <c r="K83" s="13"/>
      <c r="L83" s="13">
        <v>0</v>
      </c>
      <c r="M83" s="13" t="s">
        <v>861</v>
      </c>
      <c r="N83" s="25" t="s">
        <v>860</v>
      </c>
      <c r="O83" s="13" t="s">
        <v>32</v>
      </c>
      <c r="P83" s="13" t="s">
        <v>33</v>
      </c>
      <c r="Q83" s="13" t="s">
        <v>44</v>
      </c>
      <c r="R83" s="13" t="s">
        <v>34</v>
      </c>
      <c r="S83" s="13" t="s">
        <v>859</v>
      </c>
      <c r="T83" s="10">
        <v>0.5</v>
      </c>
      <c r="U83" s="10">
        <v>0.5</v>
      </c>
      <c r="V83" s="10">
        <v>0.5</v>
      </c>
      <c r="W83" s="10">
        <v>0.5</v>
      </c>
      <c r="X83" s="10">
        <v>2</v>
      </c>
    </row>
    <row r="84" spans="1:24" x14ac:dyDescent="0.3">
      <c r="A84" s="13" t="s">
        <v>858</v>
      </c>
      <c r="B84" s="13" t="s">
        <v>857</v>
      </c>
      <c r="C84" s="13" t="s">
        <v>856</v>
      </c>
      <c r="D84" s="13" t="s">
        <v>855</v>
      </c>
      <c r="E84" s="13">
        <v>2022</v>
      </c>
      <c r="F84" s="13" t="s">
        <v>854</v>
      </c>
      <c r="G84" s="13">
        <v>8</v>
      </c>
      <c r="H84" s="13"/>
      <c r="I84" s="13"/>
      <c r="J84" s="13">
        <v>57</v>
      </c>
      <c r="K84" s="13">
        <v>67</v>
      </c>
      <c r="L84" s="13">
        <v>0</v>
      </c>
      <c r="M84" s="13"/>
      <c r="N84" s="25" t="s">
        <v>853</v>
      </c>
      <c r="O84" s="13" t="s">
        <v>70</v>
      </c>
      <c r="P84" s="13" t="s">
        <v>33</v>
      </c>
      <c r="Q84" s="13"/>
      <c r="R84" s="13" t="s">
        <v>34</v>
      </c>
      <c r="S84" s="13" t="s">
        <v>852</v>
      </c>
      <c r="T84" s="10">
        <v>0.5</v>
      </c>
      <c r="U84" s="10">
        <v>0.5</v>
      </c>
      <c r="V84" s="10">
        <v>0.5</v>
      </c>
      <c r="W84" s="10">
        <v>0.5</v>
      </c>
      <c r="X84" s="10">
        <v>2</v>
      </c>
    </row>
    <row r="85" spans="1:24" x14ac:dyDescent="0.3">
      <c r="A85" s="13" t="s">
        <v>851</v>
      </c>
      <c r="B85" s="13" t="s">
        <v>850</v>
      </c>
      <c r="C85" s="13" t="s">
        <v>849</v>
      </c>
      <c r="D85" s="13" t="s">
        <v>848</v>
      </c>
      <c r="E85" s="13">
        <v>2025</v>
      </c>
      <c r="F85" s="13" t="s">
        <v>760</v>
      </c>
      <c r="G85" s="13">
        <v>238</v>
      </c>
      <c r="H85" s="13"/>
      <c r="I85" s="13">
        <v>110809</v>
      </c>
      <c r="J85" s="13"/>
      <c r="K85" s="13"/>
      <c r="L85" s="13">
        <v>1</v>
      </c>
      <c r="M85" s="13" t="s">
        <v>847</v>
      </c>
      <c r="N85" s="25" t="s">
        <v>846</v>
      </c>
      <c r="O85" s="13" t="s">
        <v>32</v>
      </c>
      <c r="P85" s="13" t="s">
        <v>33</v>
      </c>
      <c r="Q85" s="13" t="s">
        <v>532</v>
      </c>
      <c r="R85" s="13" t="s">
        <v>34</v>
      </c>
      <c r="S85" s="13" t="s">
        <v>845</v>
      </c>
      <c r="T85" s="10">
        <v>0.5</v>
      </c>
      <c r="U85" s="10">
        <v>0.5</v>
      </c>
      <c r="V85" s="10">
        <v>0.5</v>
      </c>
      <c r="W85" s="10">
        <v>0.5</v>
      </c>
      <c r="X85" s="10">
        <v>2</v>
      </c>
    </row>
    <row r="86" spans="1:24" x14ac:dyDescent="0.3">
      <c r="A86" s="13" t="s">
        <v>844</v>
      </c>
      <c r="B86" s="13" t="s">
        <v>843</v>
      </c>
      <c r="C86" s="13" t="s">
        <v>842</v>
      </c>
      <c r="D86" s="13" t="s">
        <v>841</v>
      </c>
      <c r="E86" s="13">
        <v>2023</v>
      </c>
      <c r="F86" s="13" t="s">
        <v>840</v>
      </c>
      <c r="G86" s="13" t="s">
        <v>839</v>
      </c>
      <c r="H86" s="13"/>
      <c r="I86" s="13"/>
      <c r="J86" s="13">
        <v>189</v>
      </c>
      <c r="K86" s="13">
        <v>205</v>
      </c>
      <c r="L86" s="13">
        <v>6</v>
      </c>
      <c r="M86" s="13" t="s">
        <v>838</v>
      </c>
      <c r="N86" s="25" t="s">
        <v>837</v>
      </c>
      <c r="O86" s="13" t="s">
        <v>70</v>
      </c>
      <c r="P86" s="13" t="s">
        <v>33</v>
      </c>
      <c r="Q86" s="13"/>
      <c r="R86" s="13" t="s">
        <v>34</v>
      </c>
      <c r="S86" s="13" t="s">
        <v>836</v>
      </c>
      <c r="T86" s="10">
        <v>0.5</v>
      </c>
      <c r="U86" s="10">
        <v>0.5</v>
      </c>
      <c r="V86" s="10">
        <v>0.5</v>
      </c>
      <c r="W86" s="10">
        <v>0.5</v>
      </c>
      <c r="X86" s="10">
        <v>2</v>
      </c>
    </row>
    <row r="87" spans="1:24" x14ac:dyDescent="0.3">
      <c r="A87" s="13" t="s">
        <v>835</v>
      </c>
      <c r="B87" s="13" t="s">
        <v>834</v>
      </c>
      <c r="C87" s="13" t="s">
        <v>833</v>
      </c>
      <c r="D87" s="13" t="s">
        <v>832</v>
      </c>
      <c r="E87" s="13">
        <v>2024</v>
      </c>
      <c r="F87" s="13" t="s">
        <v>246</v>
      </c>
      <c r="G87" s="13" t="s">
        <v>831</v>
      </c>
      <c r="H87" s="13"/>
      <c r="I87" s="13"/>
      <c r="J87" s="13">
        <v>242</v>
      </c>
      <c r="K87" s="13">
        <v>252</v>
      </c>
      <c r="L87" s="13">
        <v>7</v>
      </c>
      <c r="M87" s="13" t="s">
        <v>830</v>
      </c>
      <c r="N87" s="25" t="s">
        <v>829</v>
      </c>
      <c r="O87" s="13" t="s">
        <v>70</v>
      </c>
      <c r="P87" s="13" t="s">
        <v>33</v>
      </c>
      <c r="Q87" s="13"/>
      <c r="R87" s="13" t="s">
        <v>34</v>
      </c>
      <c r="S87" s="13" t="s">
        <v>828</v>
      </c>
      <c r="T87" s="10">
        <v>0.5</v>
      </c>
      <c r="U87" s="10">
        <v>0.5</v>
      </c>
      <c r="V87" s="10">
        <v>0.5</v>
      </c>
      <c r="W87" s="10">
        <v>0.5</v>
      </c>
      <c r="X87" s="10">
        <v>2</v>
      </c>
    </row>
    <row r="88" spans="1:24" x14ac:dyDescent="0.3">
      <c r="A88" s="13" t="s">
        <v>827</v>
      </c>
      <c r="B88" s="13" t="s">
        <v>826</v>
      </c>
      <c r="C88" s="13" t="s">
        <v>825</v>
      </c>
      <c r="D88" s="13" t="s">
        <v>824</v>
      </c>
      <c r="E88" s="13">
        <v>2021</v>
      </c>
      <c r="F88" s="13" t="s">
        <v>584</v>
      </c>
      <c r="G88" s="13">
        <v>9</v>
      </c>
      <c r="H88" s="13"/>
      <c r="I88" s="13">
        <v>9511265</v>
      </c>
      <c r="J88" s="13">
        <v>115053</v>
      </c>
      <c r="K88" s="13">
        <v>115067</v>
      </c>
      <c r="L88" s="13">
        <v>25</v>
      </c>
      <c r="M88" s="13" t="s">
        <v>823</v>
      </c>
      <c r="N88" s="25" t="s">
        <v>822</v>
      </c>
      <c r="O88" s="13" t="s">
        <v>32</v>
      </c>
      <c r="P88" s="13" t="s">
        <v>33</v>
      </c>
      <c r="Q88" s="13" t="s">
        <v>44</v>
      </c>
      <c r="R88" s="13" t="s">
        <v>34</v>
      </c>
      <c r="S88" s="13" t="s">
        <v>821</v>
      </c>
      <c r="T88" s="10">
        <v>0.5</v>
      </c>
      <c r="U88" s="10">
        <v>1</v>
      </c>
      <c r="V88" s="10">
        <v>0.5</v>
      </c>
      <c r="W88" s="10">
        <v>0.5</v>
      </c>
      <c r="X88" s="10">
        <v>2</v>
      </c>
    </row>
    <row r="89" spans="1:24" x14ac:dyDescent="0.3">
      <c r="A89" s="13" t="s">
        <v>820</v>
      </c>
      <c r="B89" s="13" t="s">
        <v>819</v>
      </c>
      <c r="C89" s="13" t="s">
        <v>818</v>
      </c>
      <c r="D89" s="13" t="s">
        <v>817</v>
      </c>
      <c r="E89" s="13">
        <v>2026</v>
      </c>
      <c r="F89" s="13" t="s">
        <v>816</v>
      </c>
      <c r="G89" s="13"/>
      <c r="H89" s="13"/>
      <c r="I89" s="13"/>
      <c r="J89" s="13"/>
      <c r="K89" s="13"/>
      <c r="L89" s="13">
        <v>0</v>
      </c>
      <c r="M89" s="13" t="s">
        <v>815</v>
      </c>
      <c r="N89" s="25" t="s">
        <v>814</v>
      </c>
      <c r="O89" s="13" t="s">
        <v>32</v>
      </c>
      <c r="P89" s="13" t="s">
        <v>813</v>
      </c>
      <c r="Q89" s="13" t="s">
        <v>44</v>
      </c>
      <c r="R89" s="13" t="s">
        <v>34</v>
      </c>
      <c r="S89" s="13" t="s">
        <v>812</v>
      </c>
      <c r="T89" s="10">
        <v>0.5</v>
      </c>
      <c r="U89" s="10">
        <v>0.5</v>
      </c>
      <c r="V89" s="10">
        <v>0.5</v>
      </c>
      <c r="W89" s="10">
        <v>0.5</v>
      </c>
      <c r="X89" s="10">
        <v>2</v>
      </c>
    </row>
    <row r="90" spans="1:24" x14ac:dyDescent="0.3">
      <c r="A90" s="13" t="s">
        <v>811</v>
      </c>
      <c r="B90" s="13" t="s">
        <v>810</v>
      </c>
      <c r="C90" s="13" t="s">
        <v>809</v>
      </c>
      <c r="D90" s="13" t="s">
        <v>808</v>
      </c>
      <c r="E90" s="13">
        <v>2023</v>
      </c>
      <c r="F90" s="13" t="s">
        <v>807</v>
      </c>
      <c r="G90" s="13">
        <v>25</v>
      </c>
      <c r="H90" s="13">
        <v>2</v>
      </c>
      <c r="I90" s="13"/>
      <c r="J90" s="13">
        <v>160</v>
      </c>
      <c r="K90" s="13">
        <v>191</v>
      </c>
      <c r="L90" s="13">
        <v>12</v>
      </c>
      <c r="M90" s="13" t="s">
        <v>806</v>
      </c>
      <c r="N90" s="25" t="s">
        <v>805</v>
      </c>
      <c r="O90" s="13" t="s">
        <v>32</v>
      </c>
      <c r="P90" s="13" t="s">
        <v>33</v>
      </c>
      <c r="Q90" s="13" t="s">
        <v>280</v>
      </c>
      <c r="R90" s="13" t="s">
        <v>34</v>
      </c>
      <c r="S90" s="13" t="s">
        <v>804</v>
      </c>
      <c r="T90" s="10">
        <v>0.5</v>
      </c>
      <c r="U90" s="10">
        <v>0.5</v>
      </c>
      <c r="V90" s="10">
        <v>0.5</v>
      </c>
      <c r="W90" s="10">
        <v>0.5</v>
      </c>
      <c r="X90" s="10">
        <v>2</v>
      </c>
    </row>
    <row r="91" spans="1:24" x14ac:dyDescent="0.3">
      <c r="A91" s="13" t="s">
        <v>803</v>
      </c>
      <c r="B91" s="13" t="s">
        <v>802</v>
      </c>
      <c r="C91" s="13" t="s">
        <v>801</v>
      </c>
      <c r="D91" s="13" t="s">
        <v>800</v>
      </c>
      <c r="E91" s="13">
        <v>2023</v>
      </c>
      <c r="F91" s="13" t="s">
        <v>799</v>
      </c>
      <c r="G91" s="13">
        <v>21</v>
      </c>
      <c r="H91" s="13">
        <v>3</v>
      </c>
      <c r="I91" s="13"/>
      <c r="J91" s="13">
        <v>399</v>
      </c>
      <c r="K91" s="13">
        <v>407</v>
      </c>
      <c r="L91" s="13">
        <v>4</v>
      </c>
      <c r="M91" s="13" t="s">
        <v>798</v>
      </c>
      <c r="N91" s="25" t="s">
        <v>797</v>
      </c>
      <c r="O91" s="13" t="s">
        <v>32</v>
      </c>
      <c r="P91" s="13" t="s">
        <v>33</v>
      </c>
      <c r="Q91" s="13"/>
      <c r="R91" s="13" t="s">
        <v>34</v>
      </c>
      <c r="S91" s="13" t="s">
        <v>796</v>
      </c>
      <c r="T91" s="10">
        <v>0.5</v>
      </c>
      <c r="U91" s="10">
        <v>0.5</v>
      </c>
      <c r="V91" s="10">
        <v>0.5</v>
      </c>
      <c r="W91" s="10">
        <v>0.5</v>
      </c>
      <c r="X91" s="10">
        <v>2</v>
      </c>
    </row>
    <row r="92" spans="1:24" x14ac:dyDescent="0.3">
      <c r="A92" s="13" t="s">
        <v>795</v>
      </c>
      <c r="B92" s="13" t="s">
        <v>794</v>
      </c>
      <c r="C92" s="13" t="s">
        <v>793</v>
      </c>
      <c r="D92" s="13" t="s">
        <v>792</v>
      </c>
      <c r="E92" s="13">
        <v>2022</v>
      </c>
      <c r="F92" s="13" t="s">
        <v>791</v>
      </c>
      <c r="G92" s="13">
        <v>70</v>
      </c>
      <c r="H92" s="13">
        <v>3</v>
      </c>
      <c r="I92" s="13"/>
      <c r="J92" s="13">
        <v>5803</v>
      </c>
      <c r="K92" s="13">
        <v>5820</v>
      </c>
      <c r="L92" s="13">
        <v>16</v>
      </c>
      <c r="M92" s="13" t="s">
        <v>790</v>
      </c>
      <c r="N92" s="25" t="s">
        <v>789</v>
      </c>
      <c r="O92" s="13" t="s">
        <v>32</v>
      </c>
      <c r="P92" s="13" t="s">
        <v>33</v>
      </c>
      <c r="Q92" s="13" t="s">
        <v>61</v>
      </c>
      <c r="R92" s="13" t="s">
        <v>34</v>
      </c>
      <c r="S92" s="13" t="s">
        <v>788</v>
      </c>
      <c r="T92" s="10">
        <v>0.5</v>
      </c>
      <c r="U92" s="10">
        <v>0.5</v>
      </c>
      <c r="V92" s="10">
        <v>1</v>
      </c>
      <c r="W92" s="10">
        <v>0.5</v>
      </c>
      <c r="X92" s="10">
        <v>2.5</v>
      </c>
    </row>
    <row r="93" spans="1:24" x14ac:dyDescent="0.3">
      <c r="A93" s="13" t="s">
        <v>787</v>
      </c>
      <c r="B93" s="13" t="s">
        <v>786</v>
      </c>
      <c r="C93" s="13" t="s">
        <v>785</v>
      </c>
      <c r="D93" s="13" t="s">
        <v>784</v>
      </c>
      <c r="E93" s="13">
        <v>2026</v>
      </c>
      <c r="F93" s="13" t="s">
        <v>783</v>
      </c>
      <c r="G93" s="13">
        <v>681</v>
      </c>
      <c r="H93" s="13"/>
      <c r="I93" s="13">
        <v>133273</v>
      </c>
      <c r="J93" s="13"/>
      <c r="K93" s="13"/>
      <c r="L93" s="13">
        <v>0</v>
      </c>
      <c r="M93" s="13" t="s">
        <v>782</v>
      </c>
      <c r="N93" s="25" t="s">
        <v>781</v>
      </c>
      <c r="O93" s="13" t="s">
        <v>32</v>
      </c>
      <c r="P93" s="13" t="s">
        <v>33</v>
      </c>
      <c r="Q93" s="13"/>
      <c r="R93" s="13" t="s">
        <v>34</v>
      </c>
      <c r="S93" s="13" t="s">
        <v>780</v>
      </c>
      <c r="T93" s="10">
        <v>0.5</v>
      </c>
      <c r="U93" s="10">
        <v>0.5</v>
      </c>
      <c r="V93" s="10">
        <v>0.5</v>
      </c>
      <c r="W93" s="10">
        <v>0.5</v>
      </c>
      <c r="X93" s="10">
        <v>2</v>
      </c>
    </row>
    <row r="94" spans="1:24" x14ac:dyDescent="0.3">
      <c r="A94" s="13" t="s">
        <v>779</v>
      </c>
      <c r="B94" s="13" t="s">
        <v>778</v>
      </c>
      <c r="C94" s="13" t="s">
        <v>777</v>
      </c>
      <c r="D94" s="13" t="s">
        <v>776</v>
      </c>
      <c r="E94" s="13">
        <v>2024</v>
      </c>
      <c r="F94" s="13" t="s">
        <v>775</v>
      </c>
      <c r="G94" s="13"/>
      <c r="H94" s="13"/>
      <c r="I94" s="13"/>
      <c r="J94" s="13">
        <v>5294</v>
      </c>
      <c r="K94" s="13">
        <v>5306</v>
      </c>
      <c r="L94" s="13">
        <v>0</v>
      </c>
      <c r="M94" s="13" t="s">
        <v>774</v>
      </c>
      <c r="N94" s="25" t="s">
        <v>773</v>
      </c>
      <c r="O94" s="13" t="s">
        <v>70</v>
      </c>
      <c r="P94" s="13" t="s">
        <v>33</v>
      </c>
      <c r="Q94" s="13"/>
      <c r="R94" s="13" t="s">
        <v>34</v>
      </c>
      <c r="S94" s="13" t="s">
        <v>772</v>
      </c>
      <c r="T94" s="10">
        <v>0.5</v>
      </c>
      <c r="U94" s="10">
        <v>0.5</v>
      </c>
      <c r="V94" s="10">
        <v>0.5</v>
      </c>
      <c r="W94" s="10">
        <v>0.5</v>
      </c>
      <c r="X94" s="10">
        <v>2</v>
      </c>
    </row>
    <row r="95" spans="1:24" x14ac:dyDescent="0.3">
      <c r="A95" s="13" t="s">
        <v>771</v>
      </c>
      <c r="B95" s="13" t="s">
        <v>770</v>
      </c>
      <c r="C95" s="13" t="s">
        <v>769</v>
      </c>
      <c r="D95" s="13" t="s">
        <v>768</v>
      </c>
      <c r="E95" s="13">
        <v>2021</v>
      </c>
      <c r="F95" s="13" t="s">
        <v>745</v>
      </c>
      <c r="G95" s="13">
        <v>25</v>
      </c>
      <c r="H95" s="13">
        <v>8</v>
      </c>
      <c r="I95" s="13">
        <v>9320555</v>
      </c>
      <c r="J95" s="13">
        <v>3230</v>
      </c>
      <c r="K95" s="13">
        <v>3239</v>
      </c>
      <c r="L95" s="13">
        <v>3</v>
      </c>
      <c r="M95" s="13" t="s">
        <v>767</v>
      </c>
      <c r="N95" s="25" t="s">
        <v>766</v>
      </c>
      <c r="O95" s="13" t="s">
        <v>32</v>
      </c>
      <c r="P95" s="13" t="s">
        <v>33</v>
      </c>
      <c r="Q95" s="13"/>
      <c r="R95" s="13" t="s">
        <v>34</v>
      </c>
      <c r="S95" s="13" t="s">
        <v>765</v>
      </c>
      <c r="T95" s="10">
        <v>0.5</v>
      </c>
      <c r="U95" s="10">
        <v>0.5</v>
      </c>
      <c r="V95" s="10">
        <v>0.5</v>
      </c>
      <c r="W95" s="10">
        <v>0.5</v>
      </c>
      <c r="X95" s="10">
        <v>2</v>
      </c>
    </row>
    <row r="96" spans="1:24" x14ac:dyDescent="0.3">
      <c r="A96" s="13" t="s">
        <v>764</v>
      </c>
      <c r="B96" s="13" t="s">
        <v>763</v>
      </c>
      <c r="C96" s="13" t="s">
        <v>762</v>
      </c>
      <c r="D96" s="13" t="s">
        <v>761</v>
      </c>
      <c r="E96" s="13">
        <v>2025</v>
      </c>
      <c r="F96" s="13" t="s">
        <v>760</v>
      </c>
      <c r="G96" s="13">
        <v>234</v>
      </c>
      <c r="H96" s="13"/>
      <c r="I96" s="13">
        <v>110265</v>
      </c>
      <c r="J96" s="13"/>
      <c r="K96" s="13"/>
      <c r="L96" s="13">
        <v>5</v>
      </c>
      <c r="M96" s="13" t="s">
        <v>759</v>
      </c>
      <c r="N96" s="25" t="s">
        <v>758</v>
      </c>
      <c r="O96" s="13" t="s">
        <v>32</v>
      </c>
      <c r="P96" s="13" t="s">
        <v>33</v>
      </c>
      <c r="Q96" s="13" t="s">
        <v>532</v>
      </c>
      <c r="R96" s="13" t="s">
        <v>34</v>
      </c>
      <c r="S96" s="13" t="s">
        <v>757</v>
      </c>
      <c r="T96" s="10">
        <v>0.5</v>
      </c>
      <c r="U96" s="10">
        <v>0.5</v>
      </c>
      <c r="V96" s="10">
        <v>0.5</v>
      </c>
      <c r="W96" s="10">
        <v>0.5</v>
      </c>
      <c r="X96" s="10">
        <v>2</v>
      </c>
    </row>
    <row r="97" spans="1:24" x14ac:dyDescent="0.3">
      <c r="A97" s="13" t="s">
        <v>756</v>
      </c>
      <c r="B97" s="13" t="s">
        <v>755</v>
      </c>
      <c r="C97" s="13" t="s">
        <v>754</v>
      </c>
      <c r="D97" s="13" t="s">
        <v>753</v>
      </c>
      <c r="E97" s="13">
        <v>2022</v>
      </c>
      <c r="F97" s="13" t="s">
        <v>439</v>
      </c>
      <c r="G97" s="13">
        <v>351</v>
      </c>
      <c r="H97" s="13"/>
      <c r="I97" s="13"/>
      <c r="J97" s="13">
        <v>669</v>
      </c>
      <c r="K97" s="13">
        <v>677</v>
      </c>
      <c r="L97" s="13">
        <v>0</v>
      </c>
      <c r="M97" s="13" t="s">
        <v>752</v>
      </c>
      <c r="N97" s="25" t="s">
        <v>751</v>
      </c>
      <c r="O97" s="13" t="s">
        <v>70</v>
      </c>
      <c r="P97" s="13" t="s">
        <v>33</v>
      </c>
      <c r="Q97" s="13"/>
      <c r="R97" s="13" t="s">
        <v>34</v>
      </c>
      <c r="S97" s="13" t="s">
        <v>750</v>
      </c>
      <c r="T97" s="10">
        <v>0.5</v>
      </c>
      <c r="U97" s="10">
        <v>1</v>
      </c>
      <c r="V97" s="10">
        <v>1</v>
      </c>
      <c r="W97" s="10">
        <v>1</v>
      </c>
      <c r="X97" s="10">
        <v>3</v>
      </c>
    </row>
    <row r="98" spans="1:24" x14ac:dyDescent="0.3">
      <c r="A98" s="13" t="s">
        <v>749</v>
      </c>
      <c r="B98" s="13" t="s">
        <v>748</v>
      </c>
      <c r="C98" s="13" t="s">
        <v>747</v>
      </c>
      <c r="D98" s="13" t="s">
        <v>746</v>
      </c>
      <c r="E98" s="13">
        <v>2024</v>
      </c>
      <c r="F98" s="13" t="s">
        <v>745</v>
      </c>
      <c r="G98" s="13">
        <v>28</v>
      </c>
      <c r="H98" s="13">
        <v>12</v>
      </c>
      <c r="I98" s="13"/>
      <c r="J98" s="13">
        <v>7251</v>
      </c>
      <c r="K98" s="13">
        <v>7262</v>
      </c>
      <c r="L98" s="13">
        <v>6</v>
      </c>
      <c r="M98" s="13" t="s">
        <v>744</v>
      </c>
      <c r="N98" s="25" t="s">
        <v>743</v>
      </c>
      <c r="O98" s="13" t="s">
        <v>32</v>
      </c>
      <c r="P98" s="13" t="s">
        <v>33</v>
      </c>
      <c r="Q98" s="13"/>
      <c r="R98" s="13" t="s">
        <v>34</v>
      </c>
      <c r="S98" s="13" t="s">
        <v>742</v>
      </c>
      <c r="T98" s="10">
        <v>0.5</v>
      </c>
      <c r="U98" s="10">
        <v>0.5</v>
      </c>
      <c r="V98" s="10">
        <v>0.5</v>
      </c>
      <c r="W98" s="10">
        <v>0.5</v>
      </c>
      <c r="X98" s="10">
        <v>2</v>
      </c>
    </row>
    <row r="99" spans="1:24" x14ac:dyDescent="0.3">
      <c r="A99" s="8" t="s">
        <v>741</v>
      </c>
      <c r="B99" s="8" t="s">
        <v>740</v>
      </c>
      <c r="C99" s="8" t="s">
        <v>739</v>
      </c>
      <c r="D99" s="8" t="s">
        <v>738</v>
      </c>
      <c r="E99" s="8">
        <v>2024</v>
      </c>
      <c r="F99" s="8" t="s">
        <v>737</v>
      </c>
      <c r="G99" s="8">
        <v>352</v>
      </c>
      <c r="H99" s="8"/>
      <c r="I99" s="8"/>
      <c r="J99" s="8">
        <v>1481</v>
      </c>
      <c r="K99" s="8">
        <v>1489</v>
      </c>
      <c r="L99" s="8">
        <v>3</v>
      </c>
      <c r="M99" s="8" t="s">
        <v>736</v>
      </c>
      <c r="N99" s="9" t="s">
        <v>735</v>
      </c>
      <c r="O99" s="8" t="s">
        <v>70</v>
      </c>
      <c r="P99" s="8" t="s">
        <v>33</v>
      </c>
      <c r="Q99" s="8"/>
      <c r="R99" s="8" t="s">
        <v>34</v>
      </c>
      <c r="S99" s="8" t="s">
        <v>734</v>
      </c>
      <c r="T99" s="10">
        <v>0.5</v>
      </c>
      <c r="U99" s="10">
        <v>0.5</v>
      </c>
      <c r="V99" s="10">
        <v>1</v>
      </c>
      <c r="W99" s="10">
        <v>1</v>
      </c>
      <c r="X99" s="10">
        <v>2.5</v>
      </c>
    </row>
    <row r="100" spans="1:24" x14ac:dyDescent="0.3">
      <c r="A100" s="8" t="s">
        <v>733</v>
      </c>
      <c r="B100" s="8" t="s">
        <v>732</v>
      </c>
      <c r="C100" s="8" t="s">
        <v>731</v>
      </c>
      <c r="D100" s="8" t="s">
        <v>730</v>
      </c>
      <c r="E100" s="8">
        <v>2023</v>
      </c>
      <c r="F100" s="8" t="s">
        <v>729</v>
      </c>
      <c r="G100" s="8"/>
      <c r="H100" s="8"/>
      <c r="I100" s="8"/>
      <c r="J100" s="8">
        <v>5324</v>
      </c>
      <c r="K100" s="8">
        <v>5331</v>
      </c>
      <c r="L100" s="8">
        <v>7</v>
      </c>
      <c r="M100" s="8" t="s">
        <v>728</v>
      </c>
      <c r="N100" s="9" t="s">
        <v>727</v>
      </c>
      <c r="O100" s="8" t="s">
        <v>70</v>
      </c>
      <c r="P100" s="8" t="s">
        <v>33</v>
      </c>
      <c r="Q100" s="8" t="s">
        <v>403</v>
      </c>
      <c r="R100" s="8" t="s">
        <v>34</v>
      </c>
      <c r="S100" s="8" t="s">
        <v>726</v>
      </c>
      <c r="T100" s="10">
        <v>0.5</v>
      </c>
      <c r="U100" s="10">
        <v>1</v>
      </c>
      <c r="V100" s="10">
        <v>0.5</v>
      </c>
      <c r="W100" s="10">
        <v>0.5</v>
      </c>
      <c r="X100" s="10">
        <v>2</v>
      </c>
    </row>
    <row r="101" spans="1:24" x14ac:dyDescent="0.3">
      <c r="A101" s="8" t="s">
        <v>725</v>
      </c>
      <c r="B101" s="8" t="s">
        <v>724</v>
      </c>
      <c r="C101" s="8" t="s">
        <v>723</v>
      </c>
      <c r="D101" s="8" t="s">
        <v>722</v>
      </c>
      <c r="E101" s="8">
        <v>2025</v>
      </c>
      <c r="F101" s="8" t="s">
        <v>675</v>
      </c>
      <c r="G101" s="8">
        <v>73</v>
      </c>
      <c r="H101" s="8">
        <v>12</v>
      </c>
      <c r="I101" s="8"/>
      <c r="J101" s="8">
        <v>966</v>
      </c>
      <c r="K101" s="8">
        <v>976</v>
      </c>
      <c r="L101" s="8">
        <v>0</v>
      </c>
      <c r="M101" s="8" t="s">
        <v>721</v>
      </c>
      <c r="N101" s="9" t="s">
        <v>720</v>
      </c>
      <c r="O101" s="8" t="s">
        <v>32</v>
      </c>
      <c r="P101" s="8" t="s">
        <v>33</v>
      </c>
      <c r="Q101" s="8"/>
      <c r="R101" s="8" t="s">
        <v>34</v>
      </c>
      <c r="S101" s="8" t="s">
        <v>719</v>
      </c>
      <c r="T101" s="10">
        <v>0.5</v>
      </c>
      <c r="U101" s="10">
        <v>1</v>
      </c>
      <c r="V101" s="10">
        <v>0.5</v>
      </c>
      <c r="W101" s="10">
        <v>0.5</v>
      </c>
      <c r="X101" s="10">
        <v>2</v>
      </c>
    </row>
    <row r="102" spans="1:24" x14ac:dyDescent="0.3">
      <c r="A102" s="8" t="s">
        <v>718</v>
      </c>
      <c r="B102" s="8" t="s">
        <v>717</v>
      </c>
      <c r="C102" s="8" t="s">
        <v>716</v>
      </c>
      <c r="D102" s="8" t="s">
        <v>715</v>
      </c>
      <c r="E102" s="8">
        <v>2024</v>
      </c>
      <c r="F102" s="8" t="s">
        <v>714</v>
      </c>
      <c r="G102" s="8">
        <v>94</v>
      </c>
      <c r="H102" s="8"/>
      <c r="I102" s="8">
        <v>106274</v>
      </c>
      <c r="J102" s="8"/>
      <c r="K102" s="8"/>
      <c r="L102" s="8">
        <v>4</v>
      </c>
      <c r="M102" s="8" t="s">
        <v>713</v>
      </c>
      <c r="N102" s="9" t="s">
        <v>712</v>
      </c>
      <c r="O102" s="8" t="s">
        <v>32</v>
      </c>
      <c r="P102" s="8" t="s">
        <v>33</v>
      </c>
      <c r="Q102" s="8" t="s">
        <v>280</v>
      </c>
      <c r="R102" s="8" t="s">
        <v>34</v>
      </c>
      <c r="S102" s="8" t="s">
        <v>711</v>
      </c>
      <c r="T102" s="10">
        <v>0.5</v>
      </c>
      <c r="U102" s="10">
        <v>0.5</v>
      </c>
      <c r="V102" s="10">
        <v>0.5</v>
      </c>
      <c r="W102" s="10">
        <v>0.5</v>
      </c>
      <c r="X102" s="10">
        <v>2</v>
      </c>
    </row>
    <row r="103" spans="1:24" x14ac:dyDescent="0.3">
      <c r="A103" s="8" t="s">
        <v>710</v>
      </c>
      <c r="B103" s="8" t="s">
        <v>709</v>
      </c>
      <c r="C103" s="8" t="s">
        <v>708</v>
      </c>
      <c r="D103" s="8" t="s">
        <v>707</v>
      </c>
      <c r="E103" s="8">
        <v>2025</v>
      </c>
      <c r="F103" s="8" t="s">
        <v>706</v>
      </c>
      <c r="G103" s="8">
        <v>63</v>
      </c>
      <c r="H103" s="8">
        <v>5</v>
      </c>
      <c r="I103" s="8"/>
      <c r="J103" s="8">
        <v>1535</v>
      </c>
      <c r="K103" s="8">
        <v>1550</v>
      </c>
      <c r="L103" s="8">
        <v>2</v>
      </c>
      <c r="M103" s="8" t="s">
        <v>705</v>
      </c>
      <c r="N103" s="9" t="s">
        <v>704</v>
      </c>
      <c r="O103" s="8" t="s">
        <v>32</v>
      </c>
      <c r="P103" s="8" t="s">
        <v>33</v>
      </c>
      <c r="Q103" s="8"/>
      <c r="R103" s="8" t="s">
        <v>34</v>
      </c>
      <c r="S103" s="8" t="s">
        <v>703</v>
      </c>
      <c r="T103" s="10">
        <v>0.5</v>
      </c>
      <c r="U103" s="10">
        <v>0.5</v>
      </c>
      <c r="V103" s="10">
        <v>0.5</v>
      </c>
      <c r="W103" s="10">
        <v>0.5</v>
      </c>
      <c r="X103" s="10">
        <v>2</v>
      </c>
    </row>
    <row r="104" spans="1:24" x14ac:dyDescent="0.3">
      <c r="A104" s="8" t="s">
        <v>702</v>
      </c>
      <c r="B104" s="8" t="s">
        <v>701</v>
      </c>
      <c r="C104" s="8" t="s">
        <v>700</v>
      </c>
      <c r="D104" s="8" t="s">
        <v>699</v>
      </c>
      <c r="E104" s="8">
        <v>2024</v>
      </c>
      <c r="F104" s="8" t="s">
        <v>698</v>
      </c>
      <c r="G104" s="8"/>
      <c r="H104" s="8"/>
      <c r="I104" s="8"/>
      <c r="J104" s="8"/>
      <c r="K104" s="8"/>
      <c r="L104" s="8">
        <v>1</v>
      </c>
      <c r="M104" s="8" t="s">
        <v>697</v>
      </c>
      <c r="N104" s="9" t="s">
        <v>696</v>
      </c>
      <c r="O104" s="8" t="s">
        <v>70</v>
      </c>
      <c r="P104" s="8" t="s">
        <v>33</v>
      </c>
      <c r="Q104" s="8"/>
      <c r="R104" s="8" t="s">
        <v>34</v>
      </c>
      <c r="S104" s="8" t="s">
        <v>695</v>
      </c>
      <c r="T104" s="10">
        <v>0.5</v>
      </c>
      <c r="U104" s="10">
        <v>0.5</v>
      </c>
      <c r="V104" s="10">
        <v>0</v>
      </c>
      <c r="W104" s="10">
        <v>0</v>
      </c>
      <c r="X104" s="10">
        <v>1</v>
      </c>
    </row>
    <row r="105" spans="1:24" x14ac:dyDescent="0.3">
      <c r="A105" s="8" t="s">
        <v>694</v>
      </c>
      <c r="B105" s="8" t="s">
        <v>693</v>
      </c>
      <c r="C105" s="8" t="s">
        <v>692</v>
      </c>
      <c r="D105" s="8" t="s">
        <v>691</v>
      </c>
      <c r="E105" s="8">
        <v>2022</v>
      </c>
      <c r="F105" s="8" t="s">
        <v>690</v>
      </c>
      <c r="G105" s="8"/>
      <c r="H105" s="8"/>
      <c r="I105" s="8"/>
      <c r="J105" s="8"/>
      <c r="K105" s="8"/>
      <c r="L105" s="8">
        <v>11</v>
      </c>
      <c r="M105" s="8" t="s">
        <v>689</v>
      </c>
      <c r="N105" s="9" t="s">
        <v>688</v>
      </c>
      <c r="O105" s="8" t="s">
        <v>70</v>
      </c>
      <c r="P105" s="8" t="s">
        <v>33</v>
      </c>
      <c r="Q105" s="8"/>
      <c r="R105" s="8" t="s">
        <v>34</v>
      </c>
      <c r="S105" s="8" t="s">
        <v>687</v>
      </c>
      <c r="T105" s="10">
        <v>0.5</v>
      </c>
      <c r="U105" s="10">
        <v>1</v>
      </c>
      <c r="V105" s="10">
        <v>0.5</v>
      </c>
      <c r="W105" s="10">
        <v>0.5</v>
      </c>
      <c r="X105" s="10">
        <v>2</v>
      </c>
    </row>
    <row r="106" spans="1:24" x14ac:dyDescent="0.3">
      <c r="A106" s="8" t="s">
        <v>686</v>
      </c>
      <c r="B106" s="8" t="s">
        <v>685</v>
      </c>
      <c r="C106" s="8" t="s">
        <v>684</v>
      </c>
      <c r="D106" s="8" t="s">
        <v>683</v>
      </c>
      <c r="E106" s="8">
        <v>2024</v>
      </c>
      <c r="F106" s="8" t="s">
        <v>124</v>
      </c>
      <c r="G106" s="8">
        <v>24</v>
      </c>
      <c r="H106" s="8">
        <v>19</v>
      </c>
      <c r="I106" s="8">
        <v>6314</v>
      </c>
      <c r="J106" s="8"/>
      <c r="K106" s="8"/>
      <c r="L106" s="8">
        <v>9</v>
      </c>
      <c r="M106" s="8" t="s">
        <v>682</v>
      </c>
      <c r="N106" s="9" t="s">
        <v>681</v>
      </c>
      <c r="O106" s="8" t="s">
        <v>32</v>
      </c>
      <c r="P106" s="8" t="s">
        <v>33</v>
      </c>
      <c r="Q106" s="8" t="s">
        <v>44</v>
      </c>
      <c r="R106" s="8" t="s">
        <v>34</v>
      </c>
      <c r="S106" s="8" t="s">
        <v>680</v>
      </c>
      <c r="T106" s="10">
        <v>0.5</v>
      </c>
      <c r="U106" s="10">
        <v>0.5</v>
      </c>
      <c r="V106" s="10">
        <v>0.5</v>
      </c>
      <c r="W106" s="10">
        <v>0.5</v>
      </c>
      <c r="X106" s="10">
        <v>2</v>
      </c>
    </row>
    <row r="107" spans="1:24" x14ac:dyDescent="0.3">
      <c r="A107" s="8" t="s">
        <v>679</v>
      </c>
      <c r="B107" s="8" t="s">
        <v>678</v>
      </c>
      <c r="C107" s="8" t="s">
        <v>677</v>
      </c>
      <c r="D107" s="8" t="s">
        <v>676</v>
      </c>
      <c r="E107" s="8">
        <v>2022</v>
      </c>
      <c r="F107" s="8" t="s">
        <v>675</v>
      </c>
      <c r="G107" s="8">
        <v>70</v>
      </c>
      <c r="H107" s="8">
        <v>9</v>
      </c>
      <c r="I107" s="8"/>
      <c r="J107" s="8">
        <v>787</v>
      </c>
      <c r="K107" s="8">
        <v>792</v>
      </c>
      <c r="L107" s="8">
        <v>7</v>
      </c>
      <c r="M107" s="8" t="s">
        <v>674</v>
      </c>
      <c r="N107" s="9" t="s">
        <v>673</v>
      </c>
      <c r="O107" s="8" t="s">
        <v>32</v>
      </c>
      <c r="P107" s="8" t="s">
        <v>33</v>
      </c>
      <c r="Q107" s="8"/>
      <c r="R107" s="8" t="s">
        <v>34</v>
      </c>
      <c r="S107" s="8" t="s">
        <v>672</v>
      </c>
      <c r="T107" s="10">
        <v>0.5</v>
      </c>
      <c r="U107" s="10">
        <v>0.5</v>
      </c>
      <c r="V107" s="10">
        <v>0</v>
      </c>
      <c r="W107" s="10">
        <v>0</v>
      </c>
      <c r="X107" s="10">
        <v>1</v>
      </c>
    </row>
  </sheetData>
  <hyperlinks>
    <hyperlink ref="N3" r:id="rId1" xr:uid="{00000000-0004-0000-0000-000001000000}"/>
    <hyperlink ref="N4" r:id="rId2" xr:uid="{00000000-0004-0000-0000-000002000000}"/>
    <hyperlink ref="N5" r:id="rId3" xr:uid="{00000000-0004-0000-0000-000003000000}"/>
    <hyperlink ref="N6" r:id="rId4" xr:uid="{00000000-0004-0000-0000-000004000000}"/>
    <hyperlink ref="N8" r:id="rId5" xr:uid="{00000000-0004-0000-0000-000007000000}"/>
    <hyperlink ref="N9" r:id="rId6" xr:uid="{00000000-0004-0000-0000-000008000000}"/>
    <hyperlink ref="N10" r:id="rId7" xr:uid="{00000000-0004-0000-0000-000009000000}"/>
    <hyperlink ref="N12" r:id="rId8" xr:uid="{00000000-0004-0000-0000-00000B000000}"/>
    <hyperlink ref="N13" r:id="rId9" xr:uid="{00000000-0004-0000-0000-00000C000000}"/>
    <hyperlink ref="N15" r:id="rId10" xr:uid="{00000000-0004-0000-0000-00000E000000}"/>
    <hyperlink ref="N16" r:id="rId11" xr:uid="{00000000-0004-0000-0000-00000F000000}"/>
    <hyperlink ref="N17" r:id="rId12" xr:uid="{00000000-0004-0000-0000-000010000000}"/>
    <hyperlink ref="N18" r:id="rId13" xr:uid="{00000000-0004-0000-0000-000011000000}"/>
    <hyperlink ref="N19" r:id="rId14" xr:uid="{00000000-0004-0000-0000-000012000000}"/>
    <hyperlink ref="N20" r:id="rId15" xr:uid="{00000000-0004-0000-0000-000013000000}"/>
    <hyperlink ref="N21" r:id="rId16" xr:uid="{00000000-0004-0000-0000-000014000000}"/>
    <hyperlink ref="N22" r:id="rId17" xr:uid="{00000000-0004-0000-0000-000015000000}"/>
    <hyperlink ref="N23" r:id="rId18" xr:uid="{00000000-0004-0000-0000-000016000000}"/>
    <hyperlink ref="N24" r:id="rId19" xr:uid="{00000000-0004-0000-0000-000017000000}"/>
    <hyperlink ref="N25" r:id="rId20" xr:uid="{00000000-0004-0000-0000-000018000000}"/>
    <hyperlink ref="N26" r:id="rId21" xr:uid="{00000000-0004-0000-0000-000019000000}"/>
    <hyperlink ref="N27" r:id="rId22" xr:uid="{00000000-0004-0000-0000-00001A000000}"/>
    <hyperlink ref="N28" r:id="rId23" xr:uid="{00000000-0004-0000-0000-00001B000000}"/>
    <hyperlink ref="N29" r:id="rId24" xr:uid="{00000000-0004-0000-0000-00001C000000}"/>
    <hyperlink ref="N30" r:id="rId25" xr:uid="{00000000-0004-0000-0000-00001D000000}"/>
    <hyperlink ref="N31" r:id="rId26" xr:uid="{00000000-0004-0000-0000-00001E000000}"/>
    <hyperlink ref="N32" r:id="rId27" xr:uid="{00000000-0004-0000-0000-00001F000000}"/>
    <hyperlink ref="N33" r:id="rId28" xr:uid="{00000000-0004-0000-0000-000020000000}"/>
    <hyperlink ref="N34" r:id="rId29" xr:uid="{00000000-0004-0000-0000-000021000000}"/>
    <hyperlink ref="N36" r:id="rId30" xr:uid="{00000000-0004-0000-0000-000023000000}"/>
    <hyperlink ref="N37" r:id="rId31" xr:uid="{00000000-0004-0000-0000-000024000000}"/>
    <hyperlink ref="N38" r:id="rId32" xr:uid="{00000000-0004-0000-0000-000025000000}"/>
    <hyperlink ref="N40" r:id="rId33" xr:uid="{00000000-0004-0000-0000-000027000000}"/>
    <hyperlink ref="N42" r:id="rId34" xr:uid="{00000000-0004-0000-0000-000029000000}"/>
    <hyperlink ref="N43" r:id="rId35" xr:uid="{00000000-0004-0000-0000-00002A000000}"/>
    <hyperlink ref="N44" r:id="rId36" xr:uid="{00000000-0004-0000-0000-00002B000000}"/>
    <hyperlink ref="N45" r:id="rId37" xr:uid="{00000000-0004-0000-0000-00002C000000}"/>
    <hyperlink ref="N46" r:id="rId38" xr:uid="{00000000-0004-0000-0000-00002D000000}"/>
    <hyperlink ref="N47" r:id="rId39" xr:uid="{00000000-0004-0000-0000-00002E000000}"/>
    <hyperlink ref="N48" r:id="rId40" xr:uid="{00000000-0004-0000-0000-00002F000000}"/>
    <hyperlink ref="N49" r:id="rId41" xr:uid="{00000000-0004-0000-0000-000030000000}"/>
    <hyperlink ref="N50" r:id="rId42" xr:uid="{00000000-0004-0000-0000-000031000000}"/>
    <hyperlink ref="N51" r:id="rId43" xr:uid="{00000000-0004-0000-0000-000032000000}"/>
    <hyperlink ref="N52" r:id="rId44" xr:uid="{00000000-0004-0000-0000-000033000000}"/>
    <hyperlink ref="N53" r:id="rId45" xr:uid="{00000000-0004-0000-0000-000034000000}"/>
    <hyperlink ref="N54" r:id="rId46" xr:uid="{00000000-0004-0000-0000-000035000000}"/>
    <hyperlink ref="N55" r:id="rId47" xr:uid="{00000000-0004-0000-0000-000036000000}"/>
    <hyperlink ref="N56" r:id="rId48" xr:uid="{00000000-0004-0000-0000-000037000000}"/>
    <hyperlink ref="N57" r:id="rId49" xr:uid="{00000000-0004-0000-0000-000038000000}"/>
    <hyperlink ref="N58" r:id="rId50" xr:uid="{00000000-0004-0000-0000-000039000000}"/>
    <hyperlink ref="N59" r:id="rId51" xr:uid="{00000000-0004-0000-0000-00003A000000}"/>
    <hyperlink ref="N60" r:id="rId52" xr:uid="{00000000-0004-0000-0000-00003B000000}"/>
    <hyperlink ref="N61" r:id="rId53" xr:uid="{00000000-0004-0000-0000-00003C000000}"/>
    <hyperlink ref="N62" r:id="rId54" xr:uid="{00000000-0004-0000-0000-00003D000000}"/>
    <hyperlink ref="N63" r:id="rId55" xr:uid="{00000000-0004-0000-0000-00003E000000}"/>
    <hyperlink ref="N64" r:id="rId56" xr:uid="{00000000-0004-0000-0000-00003F000000}"/>
    <hyperlink ref="N65" r:id="rId57" xr:uid="{00000000-0004-0000-0000-000040000000}"/>
    <hyperlink ref="N66" r:id="rId58" xr:uid="{00000000-0004-0000-0000-000041000000}"/>
    <hyperlink ref="N67" r:id="rId59" xr:uid="{00000000-0004-0000-0000-000042000000}"/>
    <hyperlink ref="N68" r:id="rId60" xr:uid="{00000000-0004-0000-0000-000043000000}"/>
    <hyperlink ref="N69" r:id="rId61" xr:uid="{00000000-0004-0000-0000-000044000000}"/>
    <hyperlink ref="N70" r:id="rId62" xr:uid="{00000000-0004-0000-0000-000045000000}"/>
    <hyperlink ref="N71" r:id="rId63" xr:uid="{00000000-0004-0000-0000-000046000000}"/>
    <hyperlink ref="N72" r:id="rId64" xr:uid="{00000000-0004-0000-0000-000047000000}"/>
    <hyperlink ref="N73" r:id="rId65" xr:uid="{00000000-0004-0000-0000-000048000000}"/>
    <hyperlink ref="N74" r:id="rId66" xr:uid="{00000000-0004-0000-0000-000049000000}"/>
    <hyperlink ref="N75" r:id="rId67" xr:uid="{00000000-0004-0000-0000-00004A000000}"/>
    <hyperlink ref="N76" r:id="rId68" xr:uid="{00000000-0004-0000-0000-00004B000000}"/>
    <hyperlink ref="N77" r:id="rId69" xr:uid="{00000000-0004-0000-0000-00004C000000}"/>
    <hyperlink ref="N78" r:id="rId70" xr:uid="{00000000-0004-0000-0000-00004D000000}"/>
    <hyperlink ref="N79" r:id="rId71" xr:uid="{00000000-0004-0000-0000-00004E000000}"/>
    <hyperlink ref="N80" r:id="rId72" xr:uid="{00000000-0004-0000-0000-00004F000000}"/>
    <hyperlink ref="N81" r:id="rId73" xr:uid="{00000000-0004-0000-0000-000050000000}"/>
    <hyperlink ref="N82" r:id="rId74" xr:uid="{00000000-0004-0000-0000-000051000000}"/>
    <hyperlink ref="N83" r:id="rId75" xr:uid="{00000000-0004-0000-0000-000052000000}"/>
    <hyperlink ref="N84" r:id="rId76" xr:uid="{00000000-0004-0000-0000-000053000000}"/>
    <hyperlink ref="N85" r:id="rId77" xr:uid="{00000000-0004-0000-0000-000054000000}"/>
    <hyperlink ref="N86" r:id="rId78" xr:uid="{00000000-0004-0000-0000-000055000000}"/>
    <hyperlink ref="N87" r:id="rId79" xr:uid="{00000000-0004-0000-0000-000056000000}"/>
    <hyperlink ref="N88" r:id="rId80" xr:uid="{00000000-0004-0000-0000-000057000000}"/>
    <hyperlink ref="N89" r:id="rId81" xr:uid="{00000000-0004-0000-0000-000058000000}"/>
    <hyperlink ref="N90" r:id="rId82" xr:uid="{00000000-0004-0000-0000-000059000000}"/>
    <hyperlink ref="N91" r:id="rId83" xr:uid="{00000000-0004-0000-0000-00005A000000}"/>
    <hyperlink ref="N92" r:id="rId84" xr:uid="{00000000-0004-0000-0000-00005B000000}"/>
    <hyperlink ref="N93" r:id="rId85" xr:uid="{00000000-0004-0000-0000-00005C000000}"/>
    <hyperlink ref="N94" r:id="rId86" xr:uid="{00000000-0004-0000-0000-00005D000000}"/>
    <hyperlink ref="N95" r:id="rId87" xr:uid="{00000000-0004-0000-0000-00005E000000}"/>
    <hyperlink ref="N96" r:id="rId88" xr:uid="{00000000-0004-0000-0000-00005F000000}"/>
    <hyperlink ref="N97" r:id="rId89" xr:uid="{00000000-0004-0000-0000-000060000000}"/>
    <hyperlink ref="N98" r:id="rId90" xr:uid="{00000000-0004-0000-0000-000061000000}"/>
    <hyperlink ref="N99" r:id="rId91" xr:uid="{00000000-0004-0000-0000-000062000000}"/>
    <hyperlink ref="N100" r:id="rId92" xr:uid="{00000000-0004-0000-0000-000063000000}"/>
    <hyperlink ref="N101" r:id="rId93" xr:uid="{00000000-0004-0000-0000-000064000000}"/>
    <hyperlink ref="N102" r:id="rId94" xr:uid="{00000000-0004-0000-0000-000065000000}"/>
    <hyperlink ref="N103" r:id="rId95" xr:uid="{00000000-0004-0000-0000-000066000000}"/>
    <hyperlink ref="N104" r:id="rId96" xr:uid="{00000000-0004-0000-0000-000067000000}"/>
    <hyperlink ref="N105" r:id="rId97" xr:uid="{00000000-0004-0000-0000-000068000000}"/>
    <hyperlink ref="N106" r:id="rId98" xr:uid="{00000000-0004-0000-0000-000069000000}"/>
    <hyperlink ref="N107" r:id="rId99" xr:uid="{00000000-0004-0000-0000-00006A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6DA0C-F48E-4983-B970-62A2F74EE56F}">
  <sheetPr>
    <tabColor theme="3"/>
  </sheetPr>
  <dimension ref="A1:S116"/>
  <sheetViews>
    <sheetView workbookViewId="0">
      <pane ySplit="1" topLeftCell="A110" activePane="bottomLeft" state="frozen"/>
      <selection pane="bottomLeft" sqref="A1:XFD1"/>
    </sheetView>
  </sheetViews>
  <sheetFormatPr defaultRowHeight="14.4" x14ac:dyDescent="0.3"/>
  <cols>
    <col min="2" max="2" width="15" customWidth="1"/>
    <col min="3" max="3" width="16.6640625" customWidth="1"/>
    <col min="6" max="6" width="13.88671875" customWidth="1"/>
    <col min="15" max="15" width="18.109375" customWidth="1"/>
    <col min="16" max="16" width="17.44140625" customWidth="1"/>
    <col min="17" max="17" width="11.77734375" customWidth="1"/>
    <col min="19" max="19" width="23.77734375" customWidth="1"/>
  </cols>
  <sheetData>
    <row r="1" spans="1:19" s="2" customFormat="1" ht="21"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
      <c r="A2" s="8" t="s">
        <v>69</v>
      </c>
      <c r="B2" s="8" t="s">
        <v>68</v>
      </c>
      <c r="C2" s="8" t="s">
        <v>67</v>
      </c>
      <c r="D2" s="8" t="s">
        <v>66</v>
      </c>
      <c r="E2" s="8">
        <v>2025</v>
      </c>
      <c r="F2" s="8" t="s">
        <v>65</v>
      </c>
      <c r="G2" s="8">
        <v>16</v>
      </c>
      <c r="H2" s="8">
        <v>5</v>
      </c>
      <c r="I2" s="8"/>
      <c r="J2" s="8">
        <v>173</v>
      </c>
      <c r="K2" s="8">
        <v>181</v>
      </c>
      <c r="L2" s="8">
        <v>0</v>
      </c>
      <c r="M2" s="8" t="s">
        <v>64</v>
      </c>
      <c r="N2" s="9" t="s">
        <v>179</v>
      </c>
      <c r="O2" s="8" t="s">
        <v>32</v>
      </c>
      <c r="P2" s="8" t="s">
        <v>33</v>
      </c>
      <c r="Q2" s="8" t="s">
        <v>61</v>
      </c>
      <c r="R2" s="8" t="s">
        <v>34</v>
      </c>
      <c r="S2" s="8" t="s">
        <v>62</v>
      </c>
    </row>
    <row r="3" spans="1:19" x14ac:dyDescent="0.3">
      <c r="A3" s="8" t="s">
        <v>178</v>
      </c>
      <c r="B3" s="8" t="s">
        <v>177</v>
      </c>
      <c r="C3" s="8" t="s">
        <v>176</v>
      </c>
      <c r="D3" s="8" t="s">
        <v>175</v>
      </c>
      <c r="E3" s="8">
        <v>2025</v>
      </c>
      <c r="F3" s="8" t="s">
        <v>124</v>
      </c>
      <c r="G3" s="8">
        <v>25</v>
      </c>
      <c r="H3" s="8">
        <v>13</v>
      </c>
      <c r="I3" s="8">
        <v>3992</v>
      </c>
      <c r="J3" s="8"/>
      <c r="K3" s="8"/>
      <c r="L3" s="8">
        <v>7</v>
      </c>
      <c r="M3" s="8" t="s">
        <v>174</v>
      </c>
      <c r="N3" s="9" t="s">
        <v>173</v>
      </c>
      <c r="O3" s="8" t="s">
        <v>32</v>
      </c>
      <c r="P3" s="8" t="s">
        <v>33</v>
      </c>
      <c r="Q3" s="8" t="s">
        <v>44</v>
      </c>
      <c r="R3" s="8" t="s">
        <v>34</v>
      </c>
      <c r="S3" s="8" t="s">
        <v>172</v>
      </c>
    </row>
    <row r="4" spans="1:19" x14ac:dyDescent="0.3">
      <c r="A4" s="8" t="s">
        <v>54</v>
      </c>
      <c r="B4" s="8" t="s">
        <v>55</v>
      </c>
      <c r="C4" s="8" t="s">
        <v>56</v>
      </c>
      <c r="D4" s="8" t="s">
        <v>57</v>
      </c>
      <c r="E4" s="8">
        <v>2026</v>
      </c>
      <c r="F4" s="8" t="s">
        <v>40</v>
      </c>
      <c r="G4" s="8">
        <v>16</v>
      </c>
      <c r="H4" s="8">
        <v>3</v>
      </c>
      <c r="I4" s="8">
        <v>1559</v>
      </c>
      <c r="J4" s="8"/>
      <c r="K4" s="8"/>
      <c r="L4" s="8">
        <v>0</v>
      </c>
      <c r="M4" s="8" t="s">
        <v>58</v>
      </c>
      <c r="N4" s="9" t="s">
        <v>171</v>
      </c>
      <c r="O4" s="8" t="s">
        <v>32</v>
      </c>
      <c r="P4" s="8" t="s">
        <v>33</v>
      </c>
      <c r="Q4" s="8" t="s">
        <v>44</v>
      </c>
      <c r="R4" s="8" t="s">
        <v>34</v>
      </c>
      <c r="S4" s="8" t="s">
        <v>60</v>
      </c>
    </row>
    <row r="5" spans="1:19" x14ac:dyDescent="0.3">
      <c r="A5" s="8" t="s">
        <v>170</v>
      </c>
      <c r="B5" s="8" t="s">
        <v>169</v>
      </c>
      <c r="C5" s="8">
        <v>57192894122</v>
      </c>
      <c r="D5" s="8" t="s">
        <v>168</v>
      </c>
      <c r="E5" s="8">
        <v>2026</v>
      </c>
      <c r="F5" s="8" t="s">
        <v>167</v>
      </c>
      <c r="G5" s="8">
        <v>10</v>
      </c>
      <c r="H5" s="8"/>
      <c r="I5" s="8">
        <v>12</v>
      </c>
      <c r="J5" s="8"/>
      <c r="K5" s="8"/>
      <c r="L5" s="8">
        <v>0</v>
      </c>
      <c r="M5" s="8" t="s">
        <v>166</v>
      </c>
      <c r="N5" s="9" t="s">
        <v>165</v>
      </c>
      <c r="O5" s="8" t="s">
        <v>32</v>
      </c>
      <c r="P5" s="8" t="s">
        <v>33</v>
      </c>
      <c r="Q5" s="8" t="s">
        <v>44</v>
      </c>
      <c r="R5" s="8" t="s">
        <v>34</v>
      </c>
      <c r="S5" s="8" t="s">
        <v>164</v>
      </c>
    </row>
    <row r="6" spans="1:19" x14ac:dyDescent="0.3">
      <c r="A6" s="8" t="s">
        <v>163</v>
      </c>
      <c r="B6" s="8" t="s">
        <v>162</v>
      </c>
      <c r="C6" s="8" t="s">
        <v>161</v>
      </c>
      <c r="D6" s="8" t="s">
        <v>160</v>
      </c>
      <c r="E6" s="8">
        <v>2026</v>
      </c>
      <c r="F6" s="8" t="s">
        <v>159</v>
      </c>
      <c r="G6" s="8">
        <v>18</v>
      </c>
      <c r="H6" s="8">
        <v>4</v>
      </c>
      <c r="I6" s="8"/>
      <c r="J6" s="8" t="s">
        <v>158</v>
      </c>
      <c r="K6" s="8" t="s">
        <v>157</v>
      </c>
      <c r="L6" s="8">
        <v>0</v>
      </c>
      <c r="M6" s="8" t="s">
        <v>156</v>
      </c>
      <c r="N6" s="9" t="s">
        <v>155</v>
      </c>
      <c r="O6" s="8" t="s">
        <v>32</v>
      </c>
      <c r="P6" s="8" t="s">
        <v>33</v>
      </c>
      <c r="Q6" s="8"/>
      <c r="R6" s="8" t="s">
        <v>34</v>
      </c>
      <c r="S6" s="8" t="s">
        <v>154</v>
      </c>
    </row>
    <row r="7" spans="1:19" x14ac:dyDescent="0.3">
      <c r="A7" s="8" t="s">
        <v>153</v>
      </c>
      <c r="B7" s="8" t="s">
        <v>152</v>
      </c>
      <c r="C7" s="8" t="s">
        <v>151</v>
      </c>
      <c r="D7" s="8" t="s">
        <v>150</v>
      </c>
      <c r="E7" s="8">
        <v>2025</v>
      </c>
      <c r="F7" s="8" t="s">
        <v>149</v>
      </c>
      <c r="G7" s="8"/>
      <c r="H7" s="8"/>
      <c r="I7" s="8"/>
      <c r="J7" s="8">
        <v>391</v>
      </c>
      <c r="K7" s="8">
        <v>396</v>
      </c>
      <c r="L7" s="8">
        <v>0</v>
      </c>
      <c r="M7" s="8" t="s">
        <v>148</v>
      </c>
      <c r="N7" s="9" t="s">
        <v>147</v>
      </c>
      <c r="O7" s="8" t="s">
        <v>70</v>
      </c>
      <c r="P7" s="8" t="s">
        <v>33</v>
      </c>
      <c r="Q7" s="8"/>
      <c r="R7" s="8" t="s">
        <v>34</v>
      </c>
      <c r="S7" s="8" t="s">
        <v>146</v>
      </c>
    </row>
    <row r="8" spans="1:19" x14ac:dyDescent="0.3">
      <c r="A8" s="8" t="s">
        <v>145</v>
      </c>
      <c r="B8" s="8" t="s">
        <v>144</v>
      </c>
      <c r="C8" s="8" t="s">
        <v>143</v>
      </c>
      <c r="D8" s="8" t="s">
        <v>142</v>
      </c>
      <c r="E8" s="8">
        <v>2026</v>
      </c>
      <c r="F8" s="8" t="s">
        <v>141</v>
      </c>
      <c r="G8" s="8"/>
      <c r="H8" s="8"/>
      <c r="I8" s="8"/>
      <c r="J8" s="8">
        <v>22</v>
      </c>
      <c r="K8" s="8">
        <v>29</v>
      </c>
      <c r="L8" s="8">
        <v>0</v>
      </c>
      <c r="M8" s="8" t="s">
        <v>140</v>
      </c>
      <c r="N8" s="9" t="s">
        <v>139</v>
      </c>
      <c r="O8" s="8" t="s">
        <v>70</v>
      </c>
      <c r="P8" s="8" t="s">
        <v>33</v>
      </c>
      <c r="Q8" s="8"/>
      <c r="R8" s="8" t="s">
        <v>34</v>
      </c>
      <c r="S8" s="8" t="s">
        <v>138</v>
      </c>
    </row>
    <row r="9" spans="1:19" x14ac:dyDescent="0.3">
      <c r="A9" s="8" t="s">
        <v>137</v>
      </c>
      <c r="B9" s="8" t="s">
        <v>136</v>
      </c>
      <c r="C9" s="8" t="s">
        <v>135</v>
      </c>
      <c r="D9" s="8" t="s">
        <v>134</v>
      </c>
      <c r="E9" s="8">
        <v>2025</v>
      </c>
      <c r="F9" s="8" t="s">
        <v>133</v>
      </c>
      <c r="G9" s="8">
        <v>13</v>
      </c>
      <c r="H9" s="8">
        <v>11</v>
      </c>
      <c r="I9" s="8">
        <v>514</v>
      </c>
      <c r="J9" s="8"/>
      <c r="K9" s="8"/>
      <c r="L9" s="8">
        <v>0</v>
      </c>
      <c r="M9" s="8" t="s">
        <v>132</v>
      </c>
      <c r="N9" s="9" t="s">
        <v>131</v>
      </c>
      <c r="O9" s="8" t="s">
        <v>32</v>
      </c>
      <c r="P9" s="8" t="s">
        <v>33</v>
      </c>
      <c r="Q9" s="8" t="s">
        <v>44</v>
      </c>
      <c r="R9" s="8" t="s">
        <v>34</v>
      </c>
      <c r="S9" s="8" t="s">
        <v>130</v>
      </c>
    </row>
    <row r="10" spans="1:19" x14ac:dyDescent="0.3">
      <c r="A10" s="8" t="s">
        <v>46</v>
      </c>
      <c r="B10" s="8" t="s">
        <v>47</v>
      </c>
      <c r="C10" s="8" t="s">
        <v>48</v>
      </c>
      <c r="D10" s="8" t="s">
        <v>49</v>
      </c>
      <c r="E10" s="8">
        <v>2025</v>
      </c>
      <c r="F10" s="8" t="s">
        <v>50</v>
      </c>
      <c r="G10" s="8">
        <v>12</v>
      </c>
      <c r="H10" s="8">
        <v>1</v>
      </c>
      <c r="I10" s="8">
        <v>793</v>
      </c>
      <c r="J10" s="8"/>
      <c r="K10" s="8"/>
      <c r="L10" s="8">
        <v>9</v>
      </c>
      <c r="M10" s="8" t="s">
        <v>51</v>
      </c>
      <c r="N10" s="9" t="s">
        <v>129</v>
      </c>
      <c r="O10" s="8" t="s">
        <v>32</v>
      </c>
      <c r="P10" s="8" t="s">
        <v>33</v>
      </c>
      <c r="Q10" s="8" t="s">
        <v>44</v>
      </c>
      <c r="R10" s="8" t="s">
        <v>34</v>
      </c>
      <c r="S10" s="8" t="s">
        <v>53</v>
      </c>
    </row>
    <row r="11" spans="1:19" x14ac:dyDescent="0.3">
      <c r="A11" s="8" t="s">
        <v>128</v>
      </c>
      <c r="B11" s="8" t="s">
        <v>127</v>
      </c>
      <c r="C11" s="8" t="s">
        <v>126</v>
      </c>
      <c r="D11" s="8" t="s">
        <v>125</v>
      </c>
      <c r="E11" s="8">
        <v>2025</v>
      </c>
      <c r="F11" s="8" t="s">
        <v>124</v>
      </c>
      <c r="G11" s="8">
        <v>25</v>
      </c>
      <c r="H11" s="8">
        <v>13</v>
      </c>
      <c r="I11" s="8">
        <v>4180</v>
      </c>
      <c r="J11" s="8"/>
      <c r="K11" s="8"/>
      <c r="L11" s="8">
        <v>0</v>
      </c>
      <c r="M11" s="8" t="s">
        <v>123</v>
      </c>
      <c r="N11" s="9" t="s">
        <v>122</v>
      </c>
      <c r="O11" s="8" t="s">
        <v>32</v>
      </c>
      <c r="P11" s="8" t="s">
        <v>33</v>
      </c>
      <c r="Q11" s="8" t="s">
        <v>44</v>
      </c>
      <c r="R11" s="8" t="s">
        <v>34</v>
      </c>
      <c r="S11" s="8" t="s">
        <v>121</v>
      </c>
    </row>
    <row r="12" spans="1:19" x14ac:dyDescent="0.3">
      <c r="A12" s="8" t="s">
        <v>180</v>
      </c>
      <c r="B12" s="8" t="s">
        <v>181</v>
      </c>
      <c r="C12" s="8" t="s">
        <v>182</v>
      </c>
      <c r="D12" s="8" t="s">
        <v>183</v>
      </c>
      <c r="E12" s="8">
        <v>2021</v>
      </c>
      <c r="F12" s="8" t="s">
        <v>184</v>
      </c>
      <c r="G12" s="8"/>
      <c r="H12" s="8"/>
      <c r="I12" s="8">
        <v>9489709</v>
      </c>
      <c r="J12" s="8"/>
      <c r="K12" s="8"/>
      <c r="L12" s="8">
        <v>5</v>
      </c>
      <c r="M12" s="8"/>
      <c r="N12" s="9" t="s">
        <v>185</v>
      </c>
      <c r="O12" s="8" t="s">
        <v>70</v>
      </c>
      <c r="P12" s="8" t="s">
        <v>33</v>
      </c>
      <c r="Q12" s="8"/>
      <c r="R12" s="8" t="s">
        <v>34</v>
      </c>
      <c r="S12" s="8" t="s">
        <v>186</v>
      </c>
    </row>
    <row r="13" spans="1:19" x14ac:dyDescent="0.3">
      <c r="A13" s="8" t="s">
        <v>187</v>
      </c>
      <c r="B13" s="8" t="s">
        <v>188</v>
      </c>
      <c r="C13" s="8" t="s">
        <v>189</v>
      </c>
      <c r="D13" s="8" t="s">
        <v>190</v>
      </c>
      <c r="E13" s="8">
        <v>2025</v>
      </c>
      <c r="F13" s="8" t="s">
        <v>124</v>
      </c>
      <c r="G13" s="8">
        <v>25</v>
      </c>
      <c r="H13" s="8">
        <v>15</v>
      </c>
      <c r="I13" s="8">
        <v>4744</v>
      </c>
      <c r="J13" s="8"/>
      <c r="K13" s="8"/>
      <c r="L13" s="8">
        <v>2</v>
      </c>
      <c r="M13" s="8" t="s">
        <v>191</v>
      </c>
      <c r="N13" s="9" t="s">
        <v>192</v>
      </c>
      <c r="O13" s="8" t="s">
        <v>32</v>
      </c>
      <c r="P13" s="8" t="s">
        <v>33</v>
      </c>
      <c r="Q13" s="8" t="s">
        <v>44</v>
      </c>
      <c r="R13" s="8" t="s">
        <v>34</v>
      </c>
      <c r="S13" s="8" t="s">
        <v>193</v>
      </c>
    </row>
    <row r="14" spans="1:19" x14ac:dyDescent="0.3">
      <c r="A14" s="8" t="s">
        <v>194</v>
      </c>
      <c r="B14" s="8" t="s">
        <v>195</v>
      </c>
      <c r="C14" s="8" t="s">
        <v>196</v>
      </c>
      <c r="D14" s="8" t="s">
        <v>197</v>
      </c>
      <c r="E14" s="8">
        <v>2022</v>
      </c>
      <c r="F14" s="8" t="s">
        <v>198</v>
      </c>
      <c r="G14" s="8">
        <v>22</v>
      </c>
      <c r="H14" s="8">
        <v>3</v>
      </c>
      <c r="I14" s="8"/>
      <c r="J14" s="8">
        <v>610</v>
      </c>
      <c r="K14" s="8">
        <v>622</v>
      </c>
      <c r="L14" s="8">
        <v>2</v>
      </c>
      <c r="M14" s="8" t="s">
        <v>199</v>
      </c>
      <c r="N14" s="9" t="s">
        <v>200</v>
      </c>
      <c r="O14" s="8" t="s">
        <v>32</v>
      </c>
      <c r="P14" s="8" t="s">
        <v>33</v>
      </c>
      <c r="Q14" s="8" t="s">
        <v>44</v>
      </c>
      <c r="R14" s="8" t="s">
        <v>34</v>
      </c>
      <c r="S14" s="8" t="s">
        <v>201</v>
      </c>
    </row>
    <row r="15" spans="1:19" x14ac:dyDescent="0.3">
      <c r="A15" s="8" t="s">
        <v>202</v>
      </c>
      <c r="B15" s="8" t="s">
        <v>203</v>
      </c>
      <c r="C15" s="8" t="s">
        <v>204</v>
      </c>
      <c r="D15" s="8" t="s">
        <v>205</v>
      </c>
      <c r="E15" s="8">
        <v>2024</v>
      </c>
      <c r="F15" s="8" t="s">
        <v>206</v>
      </c>
      <c r="G15" s="8"/>
      <c r="H15" s="8"/>
      <c r="I15" s="8"/>
      <c r="J15" s="8"/>
      <c r="K15" s="8"/>
      <c r="L15" s="8">
        <v>0</v>
      </c>
      <c r="M15" s="8" t="s">
        <v>207</v>
      </c>
      <c r="N15" s="9" t="s">
        <v>208</v>
      </c>
      <c r="O15" s="8" t="s">
        <v>70</v>
      </c>
      <c r="P15" s="8" t="s">
        <v>33</v>
      </c>
      <c r="Q15" s="8"/>
      <c r="R15" s="8" t="s">
        <v>34</v>
      </c>
      <c r="S15" s="8" t="s">
        <v>209</v>
      </c>
    </row>
    <row r="16" spans="1:19" x14ac:dyDescent="0.3">
      <c r="A16" s="8" t="s">
        <v>210</v>
      </c>
      <c r="B16" s="8" t="s">
        <v>211</v>
      </c>
      <c r="C16" s="8" t="s">
        <v>212</v>
      </c>
      <c r="D16" s="8" t="s">
        <v>213</v>
      </c>
      <c r="E16" s="8">
        <v>2022</v>
      </c>
      <c r="F16" s="8" t="s">
        <v>124</v>
      </c>
      <c r="G16" s="8">
        <v>22</v>
      </c>
      <c r="H16" s="8">
        <v>17</v>
      </c>
      <c r="I16" s="8">
        <v>6491</v>
      </c>
      <c r="J16" s="8"/>
      <c r="K16" s="8"/>
      <c r="L16" s="8">
        <v>28</v>
      </c>
      <c r="M16" s="8" t="s">
        <v>214</v>
      </c>
      <c r="N16" s="9" t="s">
        <v>215</v>
      </c>
      <c r="O16" s="8" t="s">
        <v>32</v>
      </c>
      <c r="P16" s="8" t="s">
        <v>33</v>
      </c>
      <c r="Q16" s="8" t="s">
        <v>44</v>
      </c>
      <c r="R16" s="8" t="s">
        <v>34</v>
      </c>
      <c r="S16" s="8" t="s">
        <v>216</v>
      </c>
    </row>
    <row r="17" spans="1:19" x14ac:dyDescent="0.3">
      <c r="A17" s="8" t="s">
        <v>217</v>
      </c>
      <c r="B17" s="8" t="s">
        <v>218</v>
      </c>
      <c r="C17" s="8" t="s">
        <v>219</v>
      </c>
      <c r="D17" s="8" t="s">
        <v>220</v>
      </c>
      <c r="E17" s="8">
        <v>2021</v>
      </c>
      <c r="F17" s="8" t="s">
        <v>40</v>
      </c>
      <c r="G17" s="8">
        <v>11</v>
      </c>
      <c r="H17" s="8">
        <v>11</v>
      </c>
      <c r="I17" s="8">
        <v>4874</v>
      </c>
      <c r="J17" s="8"/>
      <c r="K17" s="8"/>
      <c r="L17" s="8">
        <v>17</v>
      </c>
      <c r="M17" s="8" t="s">
        <v>221</v>
      </c>
      <c r="N17" s="9" t="s">
        <v>222</v>
      </c>
      <c r="O17" s="8" t="s">
        <v>32</v>
      </c>
      <c r="P17" s="8" t="s">
        <v>33</v>
      </c>
      <c r="Q17" s="8" t="s">
        <v>44</v>
      </c>
      <c r="R17" s="8" t="s">
        <v>34</v>
      </c>
      <c r="S17" s="8" t="s">
        <v>223</v>
      </c>
    </row>
    <row r="18" spans="1:19" x14ac:dyDescent="0.3">
      <c r="A18" s="8" t="s">
        <v>224</v>
      </c>
      <c r="B18" s="8" t="s">
        <v>225</v>
      </c>
      <c r="C18" s="8" t="s">
        <v>226</v>
      </c>
      <c r="D18" s="8" t="s">
        <v>227</v>
      </c>
      <c r="E18" s="8">
        <v>2023</v>
      </c>
      <c r="F18" s="8" t="s">
        <v>228</v>
      </c>
      <c r="G18" s="8" t="s">
        <v>229</v>
      </c>
      <c r="H18" s="8"/>
      <c r="I18" s="8"/>
      <c r="J18" s="8">
        <v>2382</v>
      </c>
      <c r="K18" s="8">
        <v>2385</v>
      </c>
      <c r="L18" s="8">
        <v>1</v>
      </c>
      <c r="M18" s="8" t="s">
        <v>230</v>
      </c>
      <c r="N18" s="9" t="s">
        <v>231</v>
      </c>
      <c r="O18" s="8" t="s">
        <v>70</v>
      </c>
      <c r="P18" s="8" t="s">
        <v>33</v>
      </c>
      <c r="Q18" s="8"/>
      <c r="R18" s="8" t="s">
        <v>34</v>
      </c>
      <c r="S18" s="8" t="s">
        <v>232</v>
      </c>
    </row>
    <row r="19" spans="1:19" x14ac:dyDescent="0.3">
      <c r="A19" s="8" t="s">
        <v>79</v>
      </c>
      <c r="B19" s="8" t="s">
        <v>80</v>
      </c>
      <c r="C19" s="8" t="s">
        <v>81</v>
      </c>
      <c r="D19" s="8" t="s">
        <v>82</v>
      </c>
      <c r="E19" s="8">
        <v>2024</v>
      </c>
      <c r="F19" s="8" t="s">
        <v>83</v>
      </c>
      <c r="G19" s="8">
        <v>16</v>
      </c>
      <c r="H19" s="8">
        <v>2</v>
      </c>
      <c r="I19" s="8">
        <v>877</v>
      </c>
      <c r="J19" s="8"/>
      <c r="K19" s="8"/>
      <c r="L19" s="8">
        <v>10</v>
      </c>
      <c r="M19" s="8" t="s">
        <v>84</v>
      </c>
      <c r="N19" s="9" t="s">
        <v>233</v>
      </c>
      <c r="O19" s="8" t="s">
        <v>32</v>
      </c>
      <c r="P19" s="8" t="s">
        <v>33</v>
      </c>
      <c r="Q19" s="8" t="s">
        <v>44</v>
      </c>
      <c r="R19" s="8" t="s">
        <v>34</v>
      </c>
      <c r="S19" s="8" t="s">
        <v>86</v>
      </c>
    </row>
    <row r="20" spans="1:19" x14ac:dyDescent="0.3">
      <c r="A20" s="8" t="s">
        <v>234</v>
      </c>
      <c r="B20" s="8" t="s">
        <v>235</v>
      </c>
      <c r="C20" s="8" t="s">
        <v>236</v>
      </c>
      <c r="D20" s="8" t="s">
        <v>237</v>
      </c>
      <c r="E20" s="8">
        <v>2025</v>
      </c>
      <c r="F20" s="8" t="s">
        <v>238</v>
      </c>
      <c r="G20" s="8"/>
      <c r="H20" s="8"/>
      <c r="I20" s="8"/>
      <c r="J20" s="8">
        <v>436</v>
      </c>
      <c r="K20" s="8">
        <v>442</v>
      </c>
      <c r="L20" s="8">
        <v>0</v>
      </c>
      <c r="M20" s="8" t="s">
        <v>239</v>
      </c>
      <c r="N20" s="9" t="s">
        <v>240</v>
      </c>
      <c r="O20" s="8" t="s">
        <v>70</v>
      </c>
      <c r="P20" s="8" t="s">
        <v>33</v>
      </c>
      <c r="Q20" s="8"/>
      <c r="R20" s="8" t="s">
        <v>34</v>
      </c>
      <c r="S20" s="8" t="s">
        <v>241</v>
      </c>
    </row>
    <row r="21" spans="1:19" x14ac:dyDescent="0.3">
      <c r="A21" s="8" t="s">
        <v>242</v>
      </c>
      <c r="B21" s="8" t="s">
        <v>243</v>
      </c>
      <c r="C21" s="8" t="s">
        <v>244</v>
      </c>
      <c r="D21" s="8" t="s">
        <v>245</v>
      </c>
      <c r="E21" s="8">
        <v>2026</v>
      </c>
      <c r="F21" s="8" t="s">
        <v>246</v>
      </c>
      <c r="G21" s="8" t="s">
        <v>247</v>
      </c>
      <c r="H21" s="8"/>
      <c r="I21" s="8"/>
      <c r="J21" s="8">
        <v>366</v>
      </c>
      <c r="K21" s="8">
        <v>387</v>
      </c>
      <c r="L21" s="8">
        <v>0</v>
      </c>
      <c r="M21" s="8" t="s">
        <v>248</v>
      </c>
      <c r="N21" s="9" t="s">
        <v>249</v>
      </c>
      <c r="O21" s="8" t="s">
        <v>70</v>
      </c>
      <c r="P21" s="8" t="s">
        <v>33</v>
      </c>
      <c r="Q21" s="8"/>
      <c r="R21" s="8" t="s">
        <v>34</v>
      </c>
      <c r="S21" s="8" t="s">
        <v>250</v>
      </c>
    </row>
    <row r="22" spans="1:19" x14ac:dyDescent="0.3">
      <c r="A22" s="8" t="s">
        <v>251</v>
      </c>
      <c r="B22" s="8" t="s">
        <v>252</v>
      </c>
      <c r="C22" s="8" t="s">
        <v>253</v>
      </c>
      <c r="D22" s="8" t="s">
        <v>254</v>
      </c>
      <c r="E22" s="8">
        <v>2025</v>
      </c>
      <c r="F22" s="8" t="s">
        <v>255</v>
      </c>
      <c r="G22" s="8"/>
      <c r="H22" s="8"/>
      <c r="I22" s="8"/>
      <c r="J22" s="8"/>
      <c r="K22" s="8"/>
      <c r="L22" s="8">
        <v>1</v>
      </c>
      <c r="M22" s="8" t="s">
        <v>256</v>
      </c>
      <c r="N22" s="9" t="s">
        <v>257</v>
      </c>
      <c r="O22" s="8" t="s">
        <v>70</v>
      </c>
      <c r="P22" s="8" t="s">
        <v>33</v>
      </c>
      <c r="Q22" s="8"/>
      <c r="R22" s="8" t="s">
        <v>34</v>
      </c>
      <c r="S22" s="8" t="s">
        <v>258</v>
      </c>
    </row>
    <row r="23" spans="1:19" x14ac:dyDescent="0.3">
      <c r="A23" s="8" t="s">
        <v>259</v>
      </c>
      <c r="B23" s="8" t="s">
        <v>260</v>
      </c>
      <c r="C23" s="8" t="s">
        <v>261</v>
      </c>
      <c r="D23" s="8" t="s">
        <v>262</v>
      </c>
      <c r="E23" s="8">
        <v>2023</v>
      </c>
      <c r="F23" s="8" t="s">
        <v>124</v>
      </c>
      <c r="G23" s="8">
        <v>23</v>
      </c>
      <c r="H23" s="8">
        <v>6</v>
      </c>
      <c r="I23" s="8">
        <v>3127</v>
      </c>
      <c r="J23" s="8"/>
      <c r="K23" s="8"/>
      <c r="L23" s="8">
        <v>30</v>
      </c>
      <c r="M23" s="8" t="s">
        <v>263</v>
      </c>
      <c r="N23" s="9" t="s">
        <v>264</v>
      </c>
      <c r="O23" s="8" t="s">
        <v>32</v>
      </c>
      <c r="P23" s="8" t="s">
        <v>33</v>
      </c>
      <c r="Q23" s="8" t="s">
        <v>44</v>
      </c>
      <c r="R23" s="8" t="s">
        <v>34</v>
      </c>
      <c r="S23" s="8" t="s">
        <v>265</v>
      </c>
    </row>
    <row r="24" spans="1:19" x14ac:dyDescent="0.3">
      <c r="A24" s="8" t="s">
        <v>266</v>
      </c>
      <c r="B24" s="8" t="s">
        <v>267</v>
      </c>
      <c r="C24" s="8" t="s">
        <v>268</v>
      </c>
      <c r="D24" s="8" t="s">
        <v>269</v>
      </c>
      <c r="E24" s="8">
        <v>2024</v>
      </c>
      <c r="F24" s="8" t="s">
        <v>270</v>
      </c>
      <c r="G24" s="8"/>
      <c r="H24" s="8"/>
      <c r="I24" s="8"/>
      <c r="J24" s="8">
        <v>1292</v>
      </c>
      <c r="K24" s="8">
        <v>1296</v>
      </c>
      <c r="L24" s="8">
        <v>5</v>
      </c>
      <c r="M24" s="8" t="s">
        <v>271</v>
      </c>
      <c r="N24" s="9" t="s">
        <v>272</v>
      </c>
      <c r="O24" s="8" t="s">
        <v>70</v>
      </c>
      <c r="P24" s="8" t="s">
        <v>33</v>
      </c>
      <c r="Q24" s="8"/>
      <c r="R24" s="8" t="s">
        <v>34</v>
      </c>
      <c r="S24" s="8" t="s">
        <v>273</v>
      </c>
    </row>
    <row r="25" spans="1:19" x14ac:dyDescent="0.3">
      <c r="A25" s="8" t="s">
        <v>274</v>
      </c>
      <c r="B25" s="8" t="s">
        <v>275</v>
      </c>
      <c r="C25" s="8" t="s">
        <v>276</v>
      </c>
      <c r="D25" s="8" t="s">
        <v>277</v>
      </c>
      <c r="E25" s="8">
        <v>2023</v>
      </c>
      <c r="F25" s="8" t="s">
        <v>28</v>
      </c>
      <c r="G25" s="8">
        <v>211</v>
      </c>
      <c r="H25" s="8"/>
      <c r="I25" s="8">
        <v>118510</v>
      </c>
      <c r="J25" s="8"/>
      <c r="K25" s="8"/>
      <c r="L25" s="8">
        <v>22</v>
      </c>
      <c r="M25" s="8" t="s">
        <v>278</v>
      </c>
      <c r="N25" s="9" t="s">
        <v>279</v>
      </c>
      <c r="O25" s="8" t="s">
        <v>32</v>
      </c>
      <c r="P25" s="8" t="s">
        <v>33</v>
      </c>
      <c r="Q25" s="8" t="s">
        <v>280</v>
      </c>
      <c r="R25" s="8" t="s">
        <v>34</v>
      </c>
      <c r="S25" s="8" t="s">
        <v>281</v>
      </c>
    </row>
    <row r="26" spans="1:19" x14ac:dyDescent="0.3">
      <c r="A26" s="8" t="s">
        <v>282</v>
      </c>
      <c r="B26" s="8" t="s">
        <v>283</v>
      </c>
      <c r="C26" s="8" t="s">
        <v>284</v>
      </c>
      <c r="D26" s="8" t="s">
        <v>285</v>
      </c>
      <c r="E26" s="8">
        <v>2025</v>
      </c>
      <c r="F26" s="8" t="s">
        <v>286</v>
      </c>
      <c r="G26" s="8"/>
      <c r="H26" s="8"/>
      <c r="I26" s="8"/>
      <c r="J26" s="8"/>
      <c r="K26" s="8"/>
      <c r="L26" s="8">
        <v>1</v>
      </c>
      <c r="M26" s="8" t="s">
        <v>287</v>
      </c>
      <c r="N26" s="9" t="s">
        <v>288</v>
      </c>
      <c r="O26" s="8" t="s">
        <v>70</v>
      </c>
      <c r="P26" s="8" t="s">
        <v>33</v>
      </c>
      <c r="Q26" s="8"/>
      <c r="R26" s="8" t="s">
        <v>34</v>
      </c>
      <c r="S26" s="8" t="s">
        <v>289</v>
      </c>
    </row>
    <row r="27" spans="1:19" x14ac:dyDescent="0.3">
      <c r="A27" s="8" t="s">
        <v>290</v>
      </c>
      <c r="B27" s="8" t="s">
        <v>291</v>
      </c>
      <c r="C27" s="8" t="s">
        <v>292</v>
      </c>
      <c r="D27" s="8" t="s">
        <v>293</v>
      </c>
      <c r="E27" s="8">
        <v>2022</v>
      </c>
      <c r="F27" s="8" t="s">
        <v>124</v>
      </c>
      <c r="G27" s="8">
        <v>22</v>
      </c>
      <c r="H27" s="8">
        <v>18</v>
      </c>
      <c r="I27" s="8">
        <v>6897</v>
      </c>
      <c r="J27" s="8"/>
      <c r="K27" s="8"/>
      <c r="L27" s="8">
        <v>29</v>
      </c>
      <c r="M27" s="8" t="s">
        <v>294</v>
      </c>
      <c r="N27" s="9" t="s">
        <v>295</v>
      </c>
      <c r="O27" s="8" t="s">
        <v>32</v>
      </c>
      <c r="P27" s="8" t="s">
        <v>33</v>
      </c>
      <c r="Q27" s="8" t="s">
        <v>44</v>
      </c>
      <c r="R27" s="8" t="s">
        <v>34</v>
      </c>
      <c r="S27" s="8" t="s">
        <v>296</v>
      </c>
    </row>
    <row r="28" spans="1:19" x14ac:dyDescent="0.3">
      <c r="A28" s="8" t="s">
        <v>297</v>
      </c>
      <c r="B28" s="8" t="s">
        <v>298</v>
      </c>
      <c r="C28" s="8" t="s">
        <v>299</v>
      </c>
      <c r="D28" s="8" t="s">
        <v>300</v>
      </c>
      <c r="E28" s="8">
        <v>2025</v>
      </c>
      <c r="F28" s="8" t="s">
        <v>301</v>
      </c>
      <c r="G28" s="8">
        <v>13639</v>
      </c>
      <c r="H28" s="8"/>
      <c r="I28" s="8" t="s">
        <v>302</v>
      </c>
      <c r="J28" s="8"/>
      <c r="K28" s="8"/>
      <c r="L28" s="8">
        <v>0</v>
      </c>
      <c r="M28" s="8" t="s">
        <v>303</v>
      </c>
      <c r="N28" s="9" t="s">
        <v>304</v>
      </c>
      <c r="O28" s="8" t="s">
        <v>70</v>
      </c>
      <c r="P28" s="8" t="s">
        <v>33</v>
      </c>
      <c r="Q28" s="8"/>
      <c r="R28" s="8" t="s">
        <v>34</v>
      </c>
      <c r="S28" s="8" t="s">
        <v>305</v>
      </c>
    </row>
    <row r="29" spans="1:19" x14ac:dyDescent="0.3">
      <c r="A29" s="8" t="s">
        <v>306</v>
      </c>
      <c r="B29" s="8" t="s">
        <v>307</v>
      </c>
      <c r="C29" s="8" t="s">
        <v>308</v>
      </c>
      <c r="D29" s="8" t="s">
        <v>309</v>
      </c>
      <c r="E29" s="8">
        <v>2021</v>
      </c>
      <c r="F29" s="8" t="s">
        <v>310</v>
      </c>
      <c r="G29" s="8">
        <v>10</v>
      </c>
      <c r="H29" s="8">
        <v>4</v>
      </c>
      <c r="I29" s="8">
        <v>71</v>
      </c>
      <c r="J29" s="8"/>
      <c r="K29" s="8"/>
      <c r="L29" s="8">
        <v>10</v>
      </c>
      <c r="M29" s="8" t="s">
        <v>311</v>
      </c>
      <c r="N29" s="9" t="s">
        <v>312</v>
      </c>
      <c r="O29" s="8" t="s">
        <v>32</v>
      </c>
      <c r="P29" s="8" t="s">
        <v>33</v>
      </c>
      <c r="Q29" s="8" t="s">
        <v>44</v>
      </c>
      <c r="R29" s="8" t="s">
        <v>34</v>
      </c>
      <c r="S29" s="8" t="s">
        <v>313</v>
      </c>
    </row>
    <row r="30" spans="1:19" x14ac:dyDescent="0.3">
      <c r="A30" s="8" t="s">
        <v>314</v>
      </c>
      <c r="B30" s="8" t="s">
        <v>315</v>
      </c>
      <c r="C30" s="8" t="s">
        <v>316</v>
      </c>
      <c r="D30" s="8" t="s">
        <v>317</v>
      </c>
      <c r="E30" s="8">
        <v>2023</v>
      </c>
      <c r="F30" s="8" t="s">
        <v>301</v>
      </c>
      <c r="G30" s="8">
        <v>12968</v>
      </c>
      <c r="H30" s="8"/>
      <c r="I30" s="8" t="s">
        <v>318</v>
      </c>
      <c r="J30" s="8"/>
      <c r="K30" s="8"/>
      <c r="L30" s="8">
        <v>1</v>
      </c>
      <c r="M30" s="8" t="s">
        <v>319</v>
      </c>
      <c r="N30" s="9" t="s">
        <v>320</v>
      </c>
      <c r="O30" s="8" t="s">
        <v>70</v>
      </c>
      <c r="P30" s="8" t="s">
        <v>33</v>
      </c>
      <c r="Q30" s="8"/>
      <c r="R30" s="8" t="s">
        <v>34</v>
      </c>
      <c r="S30" s="8" t="s">
        <v>321</v>
      </c>
    </row>
    <row r="31" spans="1:19" x14ac:dyDescent="0.3">
      <c r="A31" s="8" t="s">
        <v>322</v>
      </c>
      <c r="B31" s="8" t="s">
        <v>323</v>
      </c>
      <c r="C31" s="8" t="s">
        <v>324</v>
      </c>
      <c r="D31" s="8" t="s">
        <v>325</v>
      </c>
      <c r="E31" s="8">
        <v>2022</v>
      </c>
      <c r="F31" s="8" t="s">
        <v>301</v>
      </c>
      <c r="G31" s="8">
        <v>12271</v>
      </c>
      <c r="H31" s="8"/>
      <c r="I31" s="8" t="s">
        <v>326</v>
      </c>
      <c r="J31" s="8"/>
      <c r="K31" s="8"/>
      <c r="L31" s="8">
        <v>0</v>
      </c>
      <c r="M31" s="8" t="s">
        <v>327</v>
      </c>
      <c r="N31" s="9" t="s">
        <v>328</v>
      </c>
      <c r="O31" s="8" t="s">
        <v>70</v>
      </c>
      <c r="P31" s="8" t="s">
        <v>33</v>
      </c>
      <c r="Q31" s="8"/>
      <c r="R31" s="8" t="s">
        <v>34</v>
      </c>
      <c r="S31" s="8" t="s">
        <v>329</v>
      </c>
    </row>
    <row r="32" spans="1:19" x14ac:dyDescent="0.3">
      <c r="A32" s="8" t="s">
        <v>330</v>
      </c>
      <c r="B32" s="8" t="s">
        <v>331</v>
      </c>
      <c r="C32" s="8" t="s">
        <v>332</v>
      </c>
      <c r="D32" s="8" t="s">
        <v>333</v>
      </c>
      <c r="E32" s="8">
        <v>2025</v>
      </c>
      <c r="F32" s="8" t="s">
        <v>334</v>
      </c>
      <c r="G32" s="8"/>
      <c r="H32" s="8"/>
      <c r="I32" s="8"/>
      <c r="J32" s="8">
        <v>45</v>
      </c>
      <c r="K32" s="8">
        <v>47</v>
      </c>
      <c r="L32" s="8">
        <v>0</v>
      </c>
      <c r="M32" s="8" t="s">
        <v>335</v>
      </c>
      <c r="N32" s="9" t="s">
        <v>336</v>
      </c>
      <c r="O32" s="8" t="s">
        <v>70</v>
      </c>
      <c r="P32" s="8" t="s">
        <v>33</v>
      </c>
      <c r="Q32" s="8"/>
      <c r="R32" s="8" t="s">
        <v>34</v>
      </c>
      <c r="S32" s="8" t="s">
        <v>337</v>
      </c>
    </row>
    <row r="33" spans="1:19" x14ac:dyDescent="0.3">
      <c r="A33" s="8" t="s">
        <v>338</v>
      </c>
      <c r="B33" s="8" t="s">
        <v>339</v>
      </c>
      <c r="C33" s="8" t="s">
        <v>340</v>
      </c>
      <c r="D33" s="8" t="s">
        <v>341</v>
      </c>
      <c r="E33" s="8">
        <v>2024</v>
      </c>
      <c r="F33" s="8" t="s">
        <v>124</v>
      </c>
      <c r="G33" s="8">
        <v>24</v>
      </c>
      <c r="H33" s="8">
        <v>1</v>
      </c>
      <c r="I33" s="8">
        <v>49</v>
      </c>
      <c r="J33" s="8"/>
      <c r="K33" s="8"/>
      <c r="L33" s="8">
        <v>8</v>
      </c>
      <c r="M33" s="8" t="s">
        <v>342</v>
      </c>
      <c r="N33" s="9" t="s">
        <v>343</v>
      </c>
      <c r="O33" s="8" t="s">
        <v>32</v>
      </c>
      <c r="P33" s="8" t="s">
        <v>33</v>
      </c>
      <c r="Q33" s="8" t="s">
        <v>44</v>
      </c>
      <c r="R33" s="8" t="s">
        <v>34</v>
      </c>
      <c r="S33" s="8" t="s">
        <v>344</v>
      </c>
    </row>
    <row r="34" spans="1:19" x14ac:dyDescent="0.3">
      <c r="A34" s="8" t="s">
        <v>345</v>
      </c>
      <c r="B34" s="8" t="s">
        <v>346</v>
      </c>
      <c r="C34" s="8" t="s">
        <v>347</v>
      </c>
      <c r="D34" s="8" t="s">
        <v>348</v>
      </c>
      <c r="E34" s="8">
        <v>2021</v>
      </c>
      <c r="F34" s="8" t="s">
        <v>349</v>
      </c>
      <c r="G34" s="8"/>
      <c r="H34" s="8"/>
      <c r="I34" s="8"/>
      <c r="J34" s="8"/>
      <c r="K34" s="8"/>
      <c r="L34" s="8">
        <v>11</v>
      </c>
      <c r="M34" s="8"/>
      <c r="N34" s="9" t="s">
        <v>350</v>
      </c>
      <c r="O34" s="8" t="s">
        <v>70</v>
      </c>
      <c r="P34" s="8" t="s">
        <v>33</v>
      </c>
      <c r="Q34" s="8"/>
      <c r="R34" s="8" t="s">
        <v>34</v>
      </c>
      <c r="S34" s="8" t="s">
        <v>351</v>
      </c>
    </row>
    <row r="35" spans="1:19" x14ac:dyDescent="0.3">
      <c r="A35" s="8" t="s">
        <v>352</v>
      </c>
      <c r="B35" s="8" t="s">
        <v>353</v>
      </c>
      <c r="C35" s="8" t="s">
        <v>354</v>
      </c>
      <c r="D35" s="8" t="s">
        <v>355</v>
      </c>
      <c r="E35" s="8">
        <v>2023</v>
      </c>
      <c r="F35" s="8" t="s">
        <v>124</v>
      </c>
      <c r="G35" s="8">
        <v>23</v>
      </c>
      <c r="H35" s="8">
        <v>8</v>
      </c>
      <c r="I35" s="8">
        <v>3887</v>
      </c>
      <c r="J35" s="8"/>
      <c r="K35" s="8"/>
      <c r="L35" s="8">
        <v>50</v>
      </c>
      <c r="M35" s="8" t="s">
        <v>356</v>
      </c>
      <c r="N35" s="9" t="s">
        <v>357</v>
      </c>
      <c r="O35" s="8" t="s">
        <v>32</v>
      </c>
      <c r="P35" s="8" t="s">
        <v>33</v>
      </c>
      <c r="Q35" s="8" t="s">
        <v>44</v>
      </c>
      <c r="R35" s="8" t="s">
        <v>34</v>
      </c>
      <c r="S35" s="8" t="s">
        <v>358</v>
      </c>
    </row>
    <row r="36" spans="1:19" x14ac:dyDescent="0.3">
      <c r="A36" s="8" t="s">
        <v>359</v>
      </c>
      <c r="B36" s="8" t="s">
        <v>360</v>
      </c>
      <c r="C36" s="8" t="s">
        <v>361</v>
      </c>
      <c r="D36" s="8" t="s">
        <v>362</v>
      </c>
      <c r="E36" s="8">
        <v>2024</v>
      </c>
      <c r="F36" s="8" t="s">
        <v>83</v>
      </c>
      <c r="G36" s="8">
        <v>16</v>
      </c>
      <c r="H36" s="8">
        <v>17</v>
      </c>
      <c r="I36" s="8">
        <v>7640</v>
      </c>
      <c r="J36" s="8"/>
      <c r="K36" s="8"/>
      <c r="L36" s="8">
        <v>6</v>
      </c>
      <c r="M36" s="8" t="s">
        <v>363</v>
      </c>
      <c r="N36" s="9" t="s">
        <v>364</v>
      </c>
      <c r="O36" s="8" t="s">
        <v>32</v>
      </c>
      <c r="P36" s="8" t="s">
        <v>33</v>
      </c>
      <c r="Q36" s="8" t="s">
        <v>61</v>
      </c>
      <c r="R36" s="8" t="s">
        <v>34</v>
      </c>
      <c r="S36" s="8" t="s">
        <v>365</v>
      </c>
    </row>
    <row r="37" spans="1:19" x14ac:dyDescent="0.3">
      <c r="A37" s="8" t="s">
        <v>366</v>
      </c>
      <c r="B37" s="8" t="s">
        <v>367</v>
      </c>
      <c r="C37" s="8">
        <v>57219588402</v>
      </c>
      <c r="D37" s="8" t="s">
        <v>368</v>
      </c>
      <c r="E37" s="8">
        <v>2021</v>
      </c>
      <c r="F37" s="8" t="s">
        <v>124</v>
      </c>
      <c r="G37" s="8">
        <v>21</v>
      </c>
      <c r="H37" s="8">
        <v>22</v>
      </c>
      <c r="I37" s="8">
        <v>7527</v>
      </c>
      <c r="J37" s="8"/>
      <c r="K37" s="8"/>
      <c r="L37" s="8">
        <v>35</v>
      </c>
      <c r="M37" s="8" t="s">
        <v>369</v>
      </c>
      <c r="N37" s="9" t="s">
        <v>370</v>
      </c>
      <c r="O37" s="8" t="s">
        <v>32</v>
      </c>
      <c r="P37" s="8" t="s">
        <v>33</v>
      </c>
      <c r="Q37" s="8" t="s">
        <v>44</v>
      </c>
      <c r="R37" s="8" t="s">
        <v>34</v>
      </c>
      <c r="S37" s="8" t="s">
        <v>371</v>
      </c>
    </row>
    <row r="38" spans="1:19" x14ac:dyDescent="0.3">
      <c r="A38" s="8" t="s">
        <v>372</v>
      </c>
      <c r="B38" s="8" t="s">
        <v>373</v>
      </c>
      <c r="C38" s="8" t="s">
        <v>374</v>
      </c>
      <c r="D38" s="8" t="s">
        <v>375</v>
      </c>
      <c r="E38" s="8">
        <v>2021</v>
      </c>
      <c r="F38" s="8" t="s">
        <v>124</v>
      </c>
      <c r="G38" s="8">
        <v>21</v>
      </c>
      <c r="H38" s="8">
        <v>5</v>
      </c>
      <c r="I38" s="8">
        <v>1592</v>
      </c>
      <c r="J38" s="8">
        <v>1</v>
      </c>
      <c r="K38" s="8">
        <v>14</v>
      </c>
      <c r="L38" s="8">
        <v>44</v>
      </c>
      <c r="M38" s="8" t="s">
        <v>376</v>
      </c>
      <c r="N38" s="9" t="s">
        <v>377</v>
      </c>
      <c r="O38" s="8" t="s">
        <v>32</v>
      </c>
      <c r="P38" s="8" t="s">
        <v>33</v>
      </c>
      <c r="Q38" s="8" t="s">
        <v>44</v>
      </c>
      <c r="R38" s="8" t="s">
        <v>34</v>
      </c>
      <c r="S38" s="8" t="s">
        <v>378</v>
      </c>
    </row>
    <row r="39" spans="1:19" x14ac:dyDescent="0.3">
      <c r="A39" s="8" t="s">
        <v>379</v>
      </c>
      <c r="B39" s="8" t="s">
        <v>380</v>
      </c>
      <c r="C39" s="8" t="s">
        <v>381</v>
      </c>
      <c r="D39" s="8" t="s">
        <v>382</v>
      </c>
      <c r="E39" s="8">
        <v>2025</v>
      </c>
      <c r="F39" s="8" t="s">
        <v>383</v>
      </c>
      <c r="G39" s="8"/>
      <c r="H39" s="8"/>
      <c r="I39" s="8"/>
      <c r="J39" s="8"/>
      <c r="K39" s="8"/>
      <c r="L39" s="8">
        <v>0</v>
      </c>
      <c r="M39" s="8" t="s">
        <v>384</v>
      </c>
      <c r="N39" s="9" t="s">
        <v>385</v>
      </c>
      <c r="O39" s="8" t="s">
        <v>70</v>
      </c>
      <c r="P39" s="8" t="s">
        <v>33</v>
      </c>
      <c r="Q39" s="8"/>
      <c r="R39" s="8" t="s">
        <v>34</v>
      </c>
      <c r="S39" s="8" t="s">
        <v>386</v>
      </c>
    </row>
    <row r="40" spans="1:19" x14ac:dyDescent="0.3">
      <c r="A40" s="8" t="s">
        <v>387</v>
      </c>
      <c r="B40" s="8" t="s">
        <v>388</v>
      </c>
      <c r="C40" s="8" t="s">
        <v>389</v>
      </c>
      <c r="D40" s="8" t="s">
        <v>390</v>
      </c>
      <c r="E40" s="8">
        <v>2024</v>
      </c>
      <c r="F40" s="8" t="s">
        <v>391</v>
      </c>
      <c r="G40" s="8"/>
      <c r="H40" s="8"/>
      <c r="I40" s="8"/>
      <c r="J40" s="8"/>
      <c r="K40" s="8"/>
      <c r="L40" s="8">
        <v>2</v>
      </c>
      <c r="M40" s="8" t="s">
        <v>392</v>
      </c>
      <c r="N40" s="9" t="s">
        <v>393</v>
      </c>
      <c r="O40" s="8" t="s">
        <v>70</v>
      </c>
      <c r="P40" s="8" t="s">
        <v>33</v>
      </c>
      <c r="Q40" s="8"/>
      <c r="R40" s="8" t="s">
        <v>34</v>
      </c>
      <c r="S40" s="8" t="s">
        <v>394</v>
      </c>
    </row>
    <row r="41" spans="1:19" x14ac:dyDescent="0.3">
      <c r="A41" s="8" t="s">
        <v>395</v>
      </c>
      <c r="B41" s="8" t="s">
        <v>396</v>
      </c>
      <c r="C41" s="8" t="s">
        <v>397</v>
      </c>
      <c r="D41" s="8" t="s">
        <v>398</v>
      </c>
      <c r="E41" s="8">
        <v>2022</v>
      </c>
      <c r="F41" s="8" t="s">
        <v>399</v>
      </c>
      <c r="G41" s="8" t="s">
        <v>400</v>
      </c>
      <c r="H41" s="8"/>
      <c r="I41" s="8"/>
      <c r="J41" s="8">
        <v>790</v>
      </c>
      <c r="K41" s="8">
        <v>794</v>
      </c>
      <c r="L41" s="8">
        <v>4</v>
      </c>
      <c r="M41" s="8" t="s">
        <v>401</v>
      </c>
      <c r="N41" s="9" t="s">
        <v>402</v>
      </c>
      <c r="O41" s="8" t="s">
        <v>70</v>
      </c>
      <c r="P41" s="8" t="s">
        <v>33</v>
      </c>
      <c r="Q41" s="8" t="s">
        <v>403</v>
      </c>
      <c r="R41" s="8" t="s">
        <v>34</v>
      </c>
      <c r="S41" s="8" t="s">
        <v>404</v>
      </c>
    </row>
    <row r="42" spans="1:19" x14ac:dyDescent="0.3">
      <c r="A42" s="8" t="s">
        <v>405</v>
      </c>
      <c r="B42" s="8" t="s">
        <v>406</v>
      </c>
      <c r="C42" s="8" t="s">
        <v>407</v>
      </c>
      <c r="D42" s="8" t="s">
        <v>408</v>
      </c>
      <c r="E42" s="8">
        <v>2022</v>
      </c>
      <c r="F42" s="8" t="s">
        <v>124</v>
      </c>
      <c r="G42" s="8">
        <v>22</v>
      </c>
      <c r="H42" s="8">
        <v>2</v>
      </c>
      <c r="I42" s="8">
        <v>413</v>
      </c>
      <c r="J42" s="8"/>
      <c r="K42" s="8"/>
      <c r="L42" s="8">
        <v>29</v>
      </c>
      <c r="M42" s="8" t="s">
        <v>409</v>
      </c>
      <c r="N42" s="9" t="s">
        <v>410</v>
      </c>
      <c r="O42" s="8" t="s">
        <v>32</v>
      </c>
      <c r="P42" s="8" t="s">
        <v>33</v>
      </c>
      <c r="Q42" s="8" t="s">
        <v>44</v>
      </c>
      <c r="R42" s="8" t="s">
        <v>34</v>
      </c>
      <c r="S42" s="8" t="s">
        <v>411</v>
      </c>
    </row>
    <row r="43" spans="1:19" x14ac:dyDescent="0.3">
      <c r="A43" s="8" t="s">
        <v>412</v>
      </c>
      <c r="B43" s="8" t="s">
        <v>413</v>
      </c>
      <c r="C43" s="8" t="s">
        <v>414</v>
      </c>
      <c r="D43" s="8" t="s">
        <v>415</v>
      </c>
      <c r="E43" s="8">
        <v>2025</v>
      </c>
      <c r="F43" s="8" t="s">
        <v>416</v>
      </c>
      <c r="G43" s="8">
        <v>12</v>
      </c>
      <c r="H43" s="8">
        <v>24</v>
      </c>
      <c r="I43" s="8"/>
      <c r="J43" s="8">
        <v>52675</v>
      </c>
      <c r="K43" s="8">
        <v>52686</v>
      </c>
      <c r="L43" s="8">
        <v>2</v>
      </c>
      <c r="M43" s="8" t="s">
        <v>417</v>
      </c>
      <c r="N43" s="9" t="s">
        <v>418</v>
      </c>
      <c r="O43" s="8" t="s">
        <v>32</v>
      </c>
      <c r="P43" s="8" t="s">
        <v>33</v>
      </c>
      <c r="Q43" s="8"/>
      <c r="R43" s="8" t="s">
        <v>34</v>
      </c>
      <c r="S43" s="8" t="s">
        <v>419</v>
      </c>
    </row>
    <row r="44" spans="1:19" x14ac:dyDescent="0.3">
      <c r="A44" s="8" t="s">
        <v>420</v>
      </c>
      <c r="B44" s="8" t="s">
        <v>421</v>
      </c>
      <c r="C44" s="8">
        <v>56110428300</v>
      </c>
      <c r="D44" s="8" t="s">
        <v>422</v>
      </c>
      <c r="E44" s="8">
        <v>2025</v>
      </c>
      <c r="F44" s="8" t="s">
        <v>423</v>
      </c>
      <c r="G44" s="8" t="s">
        <v>424</v>
      </c>
      <c r="H44" s="8"/>
      <c r="I44" s="8"/>
      <c r="J44" s="8">
        <v>199</v>
      </c>
      <c r="K44" s="8">
        <v>214</v>
      </c>
      <c r="L44" s="8">
        <v>0</v>
      </c>
      <c r="M44" s="8" t="s">
        <v>425</v>
      </c>
      <c r="N44" s="9" t="s">
        <v>426</v>
      </c>
      <c r="O44" s="8" t="s">
        <v>70</v>
      </c>
      <c r="P44" s="8" t="s">
        <v>33</v>
      </c>
      <c r="Q44" s="8"/>
      <c r="R44" s="8" t="s">
        <v>34</v>
      </c>
      <c r="S44" s="8" t="s">
        <v>427</v>
      </c>
    </row>
    <row r="45" spans="1:19" x14ac:dyDescent="0.3">
      <c r="A45" s="8" t="s">
        <v>428</v>
      </c>
      <c r="B45" s="8" t="s">
        <v>429</v>
      </c>
      <c r="C45" s="8" t="s">
        <v>430</v>
      </c>
      <c r="D45" s="8" t="s">
        <v>431</v>
      </c>
      <c r="E45" s="8">
        <v>2026</v>
      </c>
      <c r="F45" s="8" t="s">
        <v>40</v>
      </c>
      <c r="G45" s="8">
        <v>16</v>
      </c>
      <c r="H45" s="8">
        <v>6</v>
      </c>
      <c r="I45" s="8">
        <v>2863</v>
      </c>
      <c r="J45" s="8"/>
      <c r="K45" s="8"/>
      <c r="L45" s="8">
        <v>0</v>
      </c>
      <c r="M45" s="8" t="s">
        <v>432</v>
      </c>
      <c r="N45" s="9" t="s">
        <v>433</v>
      </c>
      <c r="O45" s="8" t="s">
        <v>32</v>
      </c>
      <c r="P45" s="8" t="s">
        <v>33</v>
      </c>
      <c r="Q45" s="8" t="s">
        <v>44</v>
      </c>
      <c r="R45" s="8" t="s">
        <v>34</v>
      </c>
      <c r="S45" s="8" t="s">
        <v>434</v>
      </c>
    </row>
    <row r="46" spans="1:19" x14ac:dyDescent="0.3">
      <c r="A46" s="8" t="s">
        <v>435</v>
      </c>
      <c r="B46" s="8" t="s">
        <v>436</v>
      </c>
      <c r="C46" s="8" t="s">
        <v>437</v>
      </c>
      <c r="D46" s="8" t="s">
        <v>438</v>
      </c>
      <c r="E46" s="8">
        <v>2024</v>
      </c>
      <c r="F46" s="8" t="s">
        <v>439</v>
      </c>
      <c r="G46" s="8" t="s">
        <v>440</v>
      </c>
      <c r="H46" s="8"/>
      <c r="I46" s="8"/>
      <c r="J46" s="8">
        <v>317</v>
      </c>
      <c r="K46" s="8">
        <v>326</v>
      </c>
      <c r="L46" s="8">
        <v>2</v>
      </c>
      <c r="M46" s="8" t="s">
        <v>441</v>
      </c>
      <c r="N46" s="9" t="s">
        <v>442</v>
      </c>
      <c r="O46" s="8" t="s">
        <v>70</v>
      </c>
      <c r="P46" s="8" t="s">
        <v>33</v>
      </c>
      <c r="Q46" s="8"/>
      <c r="R46" s="8" t="s">
        <v>34</v>
      </c>
      <c r="S46" s="8" t="s">
        <v>443</v>
      </c>
    </row>
    <row r="47" spans="1:19" x14ac:dyDescent="0.3">
      <c r="A47" s="8" t="s">
        <v>444</v>
      </c>
      <c r="B47" s="8" t="s">
        <v>445</v>
      </c>
      <c r="C47" s="8" t="s">
        <v>446</v>
      </c>
      <c r="D47" s="8" t="s">
        <v>447</v>
      </c>
      <c r="E47" s="8">
        <v>2021</v>
      </c>
      <c r="F47" s="8" t="s">
        <v>448</v>
      </c>
      <c r="G47" s="8" t="s">
        <v>449</v>
      </c>
      <c r="H47" s="8"/>
      <c r="I47" s="8"/>
      <c r="J47" s="8">
        <v>4675</v>
      </c>
      <c r="K47" s="8">
        <v>4679</v>
      </c>
      <c r="L47" s="8">
        <v>12</v>
      </c>
      <c r="M47" s="8" t="s">
        <v>450</v>
      </c>
      <c r="N47" s="9" t="s">
        <v>451</v>
      </c>
      <c r="O47" s="8" t="s">
        <v>70</v>
      </c>
      <c r="P47" s="8" t="s">
        <v>33</v>
      </c>
      <c r="Q47" s="8"/>
      <c r="R47" s="8" t="s">
        <v>34</v>
      </c>
      <c r="S47" s="8" t="s">
        <v>452</v>
      </c>
    </row>
    <row r="48" spans="1:19" x14ac:dyDescent="0.3">
      <c r="A48" s="8" t="s">
        <v>453</v>
      </c>
      <c r="B48" s="8" t="s">
        <v>454</v>
      </c>
      <c r="C48" s="8" t="s">
        <v>455</v>
      </c>
      <c r="D48" s="8" t="s">
        <v>456</v>
      </c>
      <c r="E48" s="8">
        <v>2022</v>
      </c>
      <c r="F48" s="8" t="s">
        <v>301</v>
      </c>
      <c r="G48" s="8">
        <v>12008</v>
      </c>
      <c r="H48" s="8"/>
      <c r="I48" s="8" t="s">
        <v>457</v>
      </c>
      <c r="J48" s="8"/>
      <c r="K48" s="8"/>
      <c r="L48" s="8">
        <v>4</v>
      </c>
      <c r="M48" s="8" t="s">
        <v>458</v>
      </c>
      <c r="N48" s="9" t="s">
        <v>459</v>
      </c>
      <c r="O48" s="8" t="s">
        <v>70</v>
      </c>
      <c r="P48" s="8" t="s">
        <v>33</v>
      </c>
      <c r="Q48" s="8"/>
      <c r="R48" s="8" t="s">
        <v>34</v>
      </c>
      <c r="S48" s="8" t="s">
        <v>460</v>
      </c>
    </row>
    <row r="49" spans="1:19" x14ac:dyDescent="0.3">
      <c r="A49" s="8" t="s">
        <v>461</v>
      </c>
      <c r="B49" s="8" t="s">
        <v>462</v>
      </c>
      <c r="C49" s="8" t="s">
        <v>463</v>
      </c>
      <c r="D49" s="8" t="s">
        <v>464</v>
      </c>
      <c r="E49" s="8">
        <v>2025</v>
      </c>
      <c r="F49" s="8" t="s">
        <v>301</v>
      </c>
      <c r="G49" s="8">
        <v>13654</v>
      </c>
      <c r="H49" s="8"/>
      <c r="I49" s="8" t="s">
        <v>465</v>
      </c>
      <c r="J49" s="8"/>
      <c r="K49" s="8"/>
      <c r="L49" s="8">
        <v>0</v>
      </c>
      <c r="M49" s="8" t="s">
        <v>466</v>
      </c>
      <c r="N49" s="9" t="s">
        <v>467</v>
      </c>
      <c r="O49" s="8" t="s">
        <v>70</v>
      </c>
      <c r="P49" s="8" t="s">
        <v>33</v>
      </c>
      <c r="Q49" s="8"/>
      <c r="R49" s="8" t="s">
        <v>34</v>
      </c>
      <c r="S49" s="8" t="s">
        <v>468</v>
      </c>
    </row>
    <row r="50" spans="1:19" x14ac:dyDescent="0.3">
      <c r="A50" s="8" t="s">
        <v>469</v>
      </c>
      <c r="B50" s="8" t="s">
        <v>470</v>
      </c>
      <c r="C50" s="8" t="s">
        <v>471</v>
      </c>
      <c r="D50" s="8" t="s">
        <v>472</v>
      </c>
      <c r="E50" s="8">
        <v>2024</v>
      </c>
      <c r="F50" s="8" t="s">
        <v>473</v>
      </c>
      <c r="G50" s="8"/>
      <c r="H50" s="8"/>
      <c r="I50" s="8"/>
      <c r="J50" s="8"/>
      <c r="K50" s="8"/>
      <c r="L50" s="8">
        <v>0</v>
      </c>
      <c r="M50" s="8"/>
      <c r="N50" s="9" t="s">
        <v>474</v>
      </c>
      <c r="O50" s="8" t="s">
        <v>70</v>
      </c>
      <c r="P50" s="8" t="s">
        <v>33</v>
      </c>
      <c r="Q50" s="8"/>
      <c r="R50" s="8" t="s">
        <v>34</v>
      </c>
      <c r="S50" s="8" t="s">
        <v>475</v>
      </c>
    </row>
    <row r="51" spans="1:19" x14ac:dyDescent="0.3">
      <c r="A51" s="8" t="s">
        <v>476</v>
      </c>
      <c r="B51" s="8" t="s">
        <v>477</v>
      </c>
      <c r="C51" s="8" t="s">
        <v>478</v>
      </c>
      <c r="D51" s="8" t="s">
        <v>479</v>
      </c>
      <c r="E51" s="8">
        <v>2025</v>
      </c>
      <c r="F51" s="8" t="s">
        <v>40</v>
      </c>
      <c r="G51" s="8">
        <v>15</v>
      </c>
      <c r="H51" s="8">
        <v>9</v>
      </c>
      <c r="I51" s="8">
        <v>5203</v>
      </c>
      <c r="J51" s="8"/>
      <c r="K51" s="8"/>
      <c r="L51" s="8">
        <v>1</v>
      </c>
      <c r="M51" s="8" t="s">
        <v>480</v>
      </c>
      <c r="N51" s="9" t="s">
        <v>481</v>
      </c>
      <c r="O51" s="8" t="s">
        <v>32</v>
      </c>
      <c r="P51" s="8" t="s">
        <v>33</v>
      </c>
      <c r="Q51" s="8" t="s">
        <v>44</v>
      </c>
      <c r="R51" s="8" t="s">
        <v>34</v>
      </c>
      <c r="S51" s="8" t="s">
        <v>482</v>
      </c>
    </row>
    <row r="52" spans="1:19" x14ac:dyDescent="0.3">
      <c r="A52" s="8" t="s">
        <v>483</v>
      </c>
      <c r="B52" s="8" t="s">
        <v>484</v>
      </c>
      <c r="C52" s="8" t="s">
        <v>485</v>
      </c>
      <c r="D52" s="8" t="s">
        <v>486</v>
      </c>
      <c r="E52" s="8">
        <v>2024</v>
      </c>
      <c r="F52" s="8" t="s">
        <v>124</v>
      </c>
      <c r="G52" s="8">
        <v>24</v>
      </c>
      <c r="H52" s="8">
        <v>17</v>
      </c>
      <c r="I52" s="8">
        <v>5777</v>
      </c>
      <c r="J52" s="8"/>
      <c r="K52" s="8"/>
      <c r="L52" s="8">
        <v>8</v>
      </c>
      <c r="M52" s="8" t="s">
        <v>487</v>
      </c>
      <c r="N52" s="9" t="s">
        <v>488</v>
      </c>
      <c r="O52" s="8" t="s">
        <v>32</v>
      </c>
      <c r="P52" s="8" t="s">
        <v>33</v>
      </c>
      <c r="Q52" s="8" t="s">
        <v>44</v>
      </c>
      <c r="R52" s="8" t="s">
        <v>34</v>
      </c>
      <c r="S52" s="8" t="s">
        <v>489</v>
      </c>
    </row>
    <row r="53" spans="1:19" x14ac:dyDescent="0.3">
      <c r="A53" s="8"/>
      <c r="B53" s="8"/>
      <c r="C53" s="8"/>
      <c r="D53" s="8" t="s">
        <v>490</v>
      </c>
      <c r="E53" s="8">
        <v>2025</v>
      </c>
      <c r="F53" s="8" t="s">
        <v>490</v>
      </c>
      <c r="G53" s="8"/>
      <c r="H53" s="8"/>
      <c r="I53" s="8"/>
      <c r="J53" s="8"/>
      <c r="K53" s="8"/>
      <c r="L53" s="8">
        <v>0</v>
      </c>
      <c r="M53" s="8"/>
      <c r="N53" s="9" t="s">
        <v>491</v>
      </c>
      <c r="O53" s="8" t="s">
        <v>492</v>
      </c>
      <c r="P53" s="8" t="s">
        <v>33</v>
      </c>
      <c r="Q53" s="8"/>
      <c r="R53" s="8" t="s">
        <v>34</v>
      </c>
      <c r="S53" s="8" t="s">
        <v>493</v>
      </c>
    </row>
    <row r="54" spans="1:19" x14ac:dyDescent="0.3">
      <c r="A54" s="8" t="s">
        <v>494</v>
      </c>
      <c r="B54" s="8" t="s">
        <v>495</v>
      </c>
      <c r="C54" s="8" t="s">
        <v>496</v>
      </c>
      <c r="D54" s="8" t="s">
        <v>497</v>
      </c>
      <c r="E54" s="8">
        <v>2025</v>
      </c>
      <c r="F54" s="8" t="s">
        <v>301</v>
      </c>
      <c r="G54" s="8">
        <v>13542</v>
      </c>
      <c r="H54" s="8"/>
      <c r="I54" s="8" t="s">
        <v>498</v>
      </c>
      <c r="J54" s="8"/>
      <c r="K54" s="8"/>
      <c r="L54" s="8">
        <v>0</v>
      </c>
      <c r="M54" s="8" t="s">
        <v>499</v>
      </c>
      <c r="N54" s="9" t="s">
        <v>500</v>
      </c>
      <c r="O54" s="8" t="s">
        <v>70</v>
      </c>
      <c r="P54" s="8" t="s">
        <v>33</v>
      </c>
      <c r="Q54" s="8"/>
      <c r="R54" s="8" t="s">
        <v>34</v>
      </c>
      <c r="S54" s="8" t="s">
        <v>501</v>
      </c>
    </row>
    <row r="55" spans="1:19" x14ac:dyDescent="0.3">
      <c r="A55" s="8" t="s">
        <v>502</v>
      </c>
      <c r="B55" s="8" t="s">
        <v>503</v>
      </c>
      <c r="C55" s="8" t="s">
        <v>504</v>
      </c>
      <c r="D55" s="8" t="s">
        <v>505</v>
      </c>
      <c r="E55" s="8">
        <v>2023</v>
      </c>
      <c r="F55" s="8" t="s">
        <v>301</v>
      </c>
      <c r="G55" s="8">
        <v>12532</v>
      </c>
      <c r="H55" s="8"/>
      <c r="I55" s="8" t="s">
        <v>506</v>
      </c>
      <c r="J55" s="8"/>
      <c r="K55" s="8"/>
      <c r="L55" s="8">
        <v>5</v>
      </c>
      <c r="M55" s="8" t="s">
        <v>507</v>
      </c>
      <c r="N55" s="9" t="s">
        <v>508</v>
      </c>
      <c r="O55" s="8" t="s">
        <v>70</v>
      </c>
      <c r="P55" s="8" t="s">
        <v>33</v>
      </c>
      <c r="Q55" s="8"/>
      <c r="R55" s="8" t="s">
        <v>34</v>
      </c>
      <c r="S55" s="8" t="s">
        <v>509</v>
      </c>
    </row>
    <row r="56" spans="1:19" x14ac:dyDescent="0.3">
      <c r="A56" s="8" t="s">
        <v>510</v>
      </c>
      <c r="B56" s="8" t="s">
        <v>511</v>
      </c>
      <c r="C56" s="8" t="s">
        <v>512</v>
      </c>
      <c r="D56" s="8" t="s">
        <v>513</v>
      </c>
      <c r="E56" s="8">
        <v>2022</v>
      </c>
      <c r="F56" s="8" t="s">
        <v>124</v>
      </c>
      <c r="G56" s="8">
        <v>22</v>
      </c>
      <c r="H56" s="8">
        <v>24</v>
      </c>
      <c r="I56" s="8">
        <v>9878</v>
      </c>
      <c r="J56" s="8"/>
      <c r="K56" s="8"/>
      <c r="L56" s="8">
        <v>0</v>
      </c>
      <c r="M56" s="8" t="s">
        <v>514</v>
      </c>
      <c r="N56" s="9" t="s">
        <v>515</v>
      </c>
      <c r="O56" s="8" t="s">
        <v>32</v>
      </c>
      <c r="P56" s="8" t="s">
        <v>33</v>
      </c>
      <c r="Q56" s="8" t="s">
        <v>44</v>
      </c>
      <c r="R56" s="8" t="s">
        <v>34</v>
      </c>
      <c r="S56" s="8" t="s">
        <v>516</v>
      </c>
    </row>
    <row r="57" spans="1:19" x14ac:dyDescent="0.3">
      <c r="A57" s="8" t="s">
        <v>517</v>
      </c>
      <c r="B57" s="8" t="s">
        <v>518</v>
      </c>
      <c r="C57" s="8" t="s">
        <v>519</v>
      </c>
      <c r="D57" s="8" t="s">
        <v>520</v>
      </c>
      <c r="E57" s="8">
        <v>2024</v>
      </c>
      <c r="F57" s="8" t="s">
        <v>521</v>
      </c>
      <c r="G57" s="8">
        <v>134</v>
      </c>
      <c r="H57" s="8"/>
      <c r="I57" s="8">
        <v>108684</v>
      </c>
      <c r="J57" s="8"/>
      <c r="K57" s="8"/>
      <c r="L57" s="8">
        <v>33</v>
      </c>
      <c r="M57" s="8" t="s">
        <v>522</v>
      </c>
      <c r="N57" s="9" t="s">
        <v>523</v>
      </c>
      <c r="O57" s="8" t="s">
        <v>32</v>
      </c>
      <c r="P57" s="8" t="s">
        <v>33</v>
      </c>
      <c r="Q57" s="8"/>
      <c r="R57" s="8" t="s">
        <v>34</v>
      </c>
      <c r="S57" s="8" t="s">
        <v>524</v>
      </c>
    </row>
    <row r="58" spans="1:19" x14ac:dyDescent="0.3">
      <c r="A58" s="8" t="s">
        <v>525</v>
      </c>
      <c r="B58" s="8" t="s">
        <v>526</v>
      </c>
      <c r="C58" s="8" t="s">
        <v>527</v>
      </c>
      <c r="D58" s="8" t="s">
        <v>528</v>
      </c>
      <c r="E58" s="8">
        <v>2024</v>
      </c>
      <c r="F58" s="8" t="s">
        <v>529</v>
      </c>
      <c r="G58" s="8">
        <v>396</v>
      </c>
      <c r="H58" s="8"/>
      <c r="I58" s="8"/>
      <c r="J58" s="8">
        <v>565</v>
      </c>
      <c r="K58" s="8">
        <v>570</v>
      </c>
      <c r="L58" s="8">
        <v>1</v>
      </c>
      <c r="M58" s="8" t="s">
        <v>530</v>
      </c>
      <c r="N58" s="9" t="s">
        <v>531</v>
      </c>
      <c r="O58" s="8" t="s">
        <v>70</v>
      </c>
      <c r="P58" s="8" t="s">
        <v>33</v>
      </c>
      <c r="Q58" s="8" t="s">
        <v>532</v>
      </c>
      <c r="R58" s="8" t="s">
        <v>34</v>
      </c>
      <c r="S58" s="8" t="s">
        <v>533</v>
      </c>
    </row>
    <row r="59" spans="1:19" x14ac:dyDescent="0.3">
      <c r="A59" s="8"/>
      <c r="B59" s="8"/>
      <c r="C59" s="8"/>
      <c r="D59" s="8" t="s">
        <v>534</v>
      </c>
      <c r="E59" s="8">
        <v>2025</v>
      </c>
      <c r="F59" s="8" t="s">
        <v>535</v>
      </c>
      <c r="G59" s="8" t="s">
        <v>536</v>
      </c>
      <c r="H59" s="8"/>
      <c r="I59" s="8"/>
      <c r="J59" s="8"/>
      <c r="K59" s="8"/>
      <c r="L59" s="8">
        <v>0</v>
      </c>
      <c r="M59" s="8"/>
      <c r="N59" s="9" t="s">
        <v>537</v>
      </c>
      <c r="O59" s="8" t="s">
        <v>492</v>
      </c>
      <c r="P59" s="8" t="s">
        <v>33</v>
      </c>
      <c r="Q59" s="8"/>
      <c r="R59" s="8" t="s">
        <v>34</v>
      </c>
      <c r="S59" s="8" t="s">
        <v>538</v>
      </c>
    </row>
    <row r="60" spans="1:19" x14ac:dyDescent="0.3">
      <c r="A60" s="8" t="s">
        <v>539</v>
      </c>
      <c r="B60" s="8" t="s">
        <v>540</v>
      </c>
      <c r="C60" s="8" t="s">
        <v>541</v>
      </c>
      <c r="D60" s="8" t="s">
        <v>542</v>
      </c>
      <c r="E60" s="8">
        <v>2022</v>
      </c>
      <c r="F60" s="8" t="s">
        <v>124</v>
      </c>
      <c r="G60" s="8">
        <v>22</v>
      </c>
      <c r="H60" s="8">
        <v>20</v>
      </c>
      <c r="I60" s="8">
        <v>7863</v>
      </c>
      <c r="J60" s="8"/>
      <c r="K60" s="8"/>
      <c r="L60" s="8">
        <v>17</v>
      </c>
      <c r="M60" s="8" t="s">
        <v>543</v>
      </c>
      <c r="N60" s="9" t="s">
        <v>544</v>
      </c>
      <c r="O60" s="8" t="s">
        <v>32</v>
      </c>
      <c r="P60" s="8" t="s">
        <v>33</v>
      </c>
      <c r="Q60" s="8" t="s">
        <v>44</v>
      </c>
      <c r="R60" s="8" t="s">
        <v>34</v>
      </c>
      <c r="S60" s="8" t="s">
        <v>545</v>
      </c>
    </row>
    <row r="61" spans="1:19" x14ac:dyDescent="0.3">
      <c r="A61" s="8" t="s">
        <v>546</v>
      </c>
      <c r="B61" s="8" t="s">
        <v>547</v>
      </c>
      <c r="C61" s="8" t="s">
        <v>548</v>
      </c>
      <c r="D61" s="8" t="s">
        <v>549</v>
      </c>
      <c r="E61" s="8">
        <v>2023</v>
      </c>
      <c r="F61" s="8" t="s">
        <v>124</v>
      </c>
      <c r="G61" s="8">
        <v>23</v>
      </c>
      <c r="H61" s="8">
        <v>8</v>
      </c>
      <c r="I61" s="8">
        <v>3877</v>
      </c>
      <c r="J61" s="8"/>
      <c r="K61" s="8"/>
      <c r="L61" s="8">
        <v>2</v>
      </c>
      <c r="M61" s="8" t="s">
        <v>550</v>
      </c>
      <c r="N61" s="9" t="s">
        <v>551</v>
      </c>
      <c r="O61" s="8" t="s">
        <v>32</v>
      </c>
      <c r="P61" s="8" t="s">
        <v>33</v>
      </c>
      <c r="Q61" s="8" t="s">
        <v>44</v>
      </c>
      <c r="R61" s="8" t="s">
        <v>34</v>
      </c>
      <c r="S61" s="8" t="s">
        <v>552</v>
      </c>
    </row>
    <row r="62" spans="1:19" x14ac:dyDescent="0.3">
      <c r="A62" s="8" t="s">
        <v>553</v>
      </c>
      <c r="B62" s="8" t="s">
        <v>554</v>
      </c>
      <c r="C62" s="8" t="s">
        <v>555</v>
      </c>
      <c r="D62" s="8" t="s">
        <v>556</v>
      </c>
      <c r="E62" s="8">
        <v>2024</v>
      </c>
      <c r="F62" s="8" t="s">
        <v>557</v>
      </c>
      <c r="G62" s="8"/>
      <c r="H62" s="8"/>
      <c r="I62" s="8"/>
      <c r="J62" s="8"/>
      <c r="K62" s="8"/>
      <c r="L62" s="8">
        <v>2</v>
      </c>
      <c r="M62" s="8" t="s">
        <v>558</v>
      </c>
      <c r="N62" s="9" t="s">
        <v>559</v>
      </c>
      <c r="O62" s="8" t="s">
        <v>70</v>
      </c>
      <c r="P62" s="8" t="s">
        <v>33</v>
      </c>
      <c r="Q62" s="8"/>
      <c r="R62" s="8" t="s">
        <v>34</v>
      </c>
      <c r="S62" s="8" t="s">
        <v>560</v>
      </c>
    </row>
    <row r="63" spans="1:19" x14ac:dyDescent="0.3">
      <c r="A63" s="8" t="s">
        <v>561</v>
      </c>
      <c r="B63" s="8" t="s">
        <v>562</v>
      </c>
      <c r="C63" s="8" t="s">
        <v>563</v>
      </c>
      <c r="D63" s="8" t="s">
        <v>564</v>
      </c>
      <c r="E63" s="8">
        <v>2023</v>
      </c>
      <c r="F63" s="8" t="s">
        <v>565</v>
      </c>
      <c r="G63" s="8">
        <v>10</v>
      </c>
      <c r="H63" s="8"/>
      <c r="I63" s="8">
        <v>1218174</v>
      </c>
      <c r="J63" s="8"/>
      <c r="K63" s="8"/>
      <c r="L63" s="8">
        <v>3</v>
      </c>
      <c r="M63" s="8" t="s">
        <v>566</v>
      </c>
      <c r="N63" s="9" t="s">
        <v>567</v>
      </c>
      <c r="O63" s="8" t="s">
        <v>32</v>
      </c>
      <c r="P63" s="8" t="s">
        <v>33</v>
      </c>
      <c r="Q63" s="8" t="s">
        <v>44</v>
      </c>
      <c r="R63" s="8" t="s">
        <v>34</v>
      </c>
      <c r="S63" s="8" t="s">
        <v>568</v>
      </c>
    </row>
    <row r="64" spans="1:19" x14ac:dyDescent="0.3">
      <c r="A64" s="8" t="s">
        <v>569</v>
      </c>
      <c r="B64" s="8" t="s">
        <v>570</v>
      </c>
      <c r="C64" s="8" t="s">
        <v>571</v>
      </c>
      <c r="D64" s="8" t="s">
        <v>572</v>
      </c>
      <c r="E64" s="8">
        <v>2025</v>
      </c>
      <c r="F64" s="8" t="s">
        <v>301</v>
      </c>
      <c r="G64" s="8">
        <v>13654</v>
      </c>
      <c r="H64" s="8"/>
      <c r="I64" s="8" t="s">
        <v>573</v>
      </c>
      <c r="J64" s="8"/>
      <c r="K64" s="8"/>
      <c r="L64" s="8">
        <v>0</v>
      </c>
      <c r="M64" s="8" t="s">
        <v>574</v>
      </c>
      <c r="N64" s="9" t="s">
        <v>575</v>
      </c>
      <c r="O64" s="8" t="s">
        <v>70</v>
      </c>
      <c r="P64" s="8" t="s">
        <v>33</v>
      </c>
      <c r="Q64" s="8"/>
      <c r="R64" s="8" t="s">
        <v>34</v>
      </c>
      <c r="S64" s="8" t="s">
        <v>576</v>
      </c>
    </row>
    <row r="65" spans="1:19" x14ac:dyDescent="0.3">
      <c r="A65" s="8" t="s">
        <v>580</v>
      </c>
      <c r="B65" s="8" t="s">
        <v>581</v>
      </c>
      <c r="C65" s="8" t="s">
        <v>582</v>
      </c>
      <c r="D65" s="8" t="s">
        <v>583</v>
      </c>
      <c r="E65" s="8">
        <v>2023</v>
      </c>
      <c r="F65" s="8" t="s">
        <v>584</v>
      </c>
      <c r="G65" s="8">
        <v>11</v>
      </c>
      <c r="H65" s="8"/>
      <c r="I65" s="8"/>
      <c r="J65" s="8">
        <v>138759</v>
      </c>
      <c r="K65" s="8">
        <v>138772</v>
      </c>
      <c r="L65" s="8">
        <v>15</v>
      </c>
      <c r="M65" s="8" t="s">
        <v>585</v>
      </c>
      <c r="N65" s="9" t="s">
        <v>586</v>
      </c>
      <c r="O65" s="8" t="s">
        <v>32</v>
      </c>
      <c r="P65" s="8" t="s">
        <v>33</v>
      </c>
      <c r="Q65" s="8" t="s">
        <v>44</v>
      </c>
      <c r="R65" s="8" t="s">
        <v>34</v>
      </c>
      <c r="S65" s="8" t="s">
        <v>587</v>
      </c>
    </row>
    <row r="66" spans="1:19" x14ac:dyDescent="0.3">
      <c r="A66" s="8" t="s">
        <v>588</v>
      </c>
      <c r="B66" s="8" t="s">
        <v>589</v>
      </c>
      <c r="C66" s="8" t="s">
        <v>590</v>
      </c>
      <c r="D66" s="8" t="s">
        <v>591</v>
      </c>
      <c r="E66" s="8">
        <v>2025</v>
      </c>
      <c r="F66" s="8" t="s">
        <v>592</v>
      </c>
      <c r="G66" s="8"/>
      <c r="H66" s="8"/>
      <c r="I66" s="8"/>
      <c r="J66" s="8"/>
      <c r="K66" s="8"/>
      <c r="L66" s="8">
        <v>0</v>
      </c>
      <c r="M66" s="8" t="s">
        <v>593</v>
      </c>
      <c r="N66" s="9" t="s">
        <v>594</v>
      </c>
      <c r="O66" s="8" t="s">
        <v>70</v>
      </c>
      <c r="P66" s="8" t="s">
        <v>33</v>
      </c>
      <c r="Q66" s="8"/>
      <c r="R66" s="8" t="s">
        <v>34</v>
      </c>
      <c r="S66" s="8" t="s">
        <v>595</v>
      </c>
    </row>
    <row r="67" spans="1:19" x14ac:dyDescent="0.3">
      <c r="A67" s="8" t="s">
        <v>596</v>
      </c>
      <c r="B67" s="8" t="s">
        <v>597</v>
      </c>
      <c r="C67" s="8" t="s">
        <v>598</v>
      </c>
      <c r="D67" s="8" t="s">
        <v>599</v>
      </c>
      <c r="E67" s="8">
        <v>2025</v>
      </c>
      <c r="F67" s="8" t="s">
        <v>83</v>
      </c>
      <c r="G67" s="8">
        <v>17</v>
      </c>
      <c r="H67" s="8">
        <v>18</v>
      </c>
      <c r="I67" s="8">
        <v>8493</v>
      </c>
      <c r="J67" s="8"/>
      <c r="K67" s="8"/>
      <c r="L67" s="8">
        <v>1</v>
      </c>
      <c r="M67" s="8" t="s">
        <v>600</v>
      </c>
      <c r="N67" s="9" t="s">
        <v>601</v>
      </c>
      <c r="O67" s="8" t="s">
        <v>32</v>
      </c>
      <c r="P67" s="8" t="s">
        <v>33</v>
      </c>
      <c r="Q67" s="8" t="s">
        <v>44</v>
      </c>
      <c r="R67" s="8" t="s">
        <v>34</v>
      </c>
      <c r="S67" s="8" t="s">
        <v>602</v>
      </c>
    </row>
    <row r="68" spans="1:19" x14ac:dyDescent="0.3">
      <c r="A68" s="8" t="s">
        <v>603</v>
      </c>
      <c r="B68" s="8" t="s">
        <v>604</v>
      </c>
      <c r="C68" s="8" t="s">
        <v>605</v>
      </c>
      <c r="D68" s="8" t="s">
        <v>606</v>
      </c>
      <c r="E68" s="8">
        <v>2025</v>
      </c>
      <c r="F68" s="8" t="s">
        <v>301</v>
      </c>
      <c r="G68" s="8">
        <v>13733</v>
      </c>
      <c r="H68" s="8"/>
      <c r="I68" s="8" t="s">
        <v>607</v>
      </c>
      <c r="J68" s="8"/>
      <c r="K68" s="8"/>
      <c r="L68" s="8">
        <v>0</v>
      </c>
      <c r="M68" s="8" t="s">
        <v>608</v>
      </c>
      <c r="N68" s="9" t="s">
        <v>609</v>
      </c>
      <c r="O68" s="8" t="s">
        <v>70</v>
      </c>
      <c r="P68" s="8" t="s">
        <v>33</v>
      </c>
      <c r="Q68" s="8"/>
      <c r="R68" s="8" t="s">
        <v>34</v>
      </c>
      <c r="S68" s="8" t="s">
        <v>610</v>
      </c>
    </row>
    <row r="69" spans="1:19" x14ac:dyDescent="0.3">
      <c r="A69" s="8" t="s">
        <v>611</v>
      </c>
      <c r="B69" s="8" t="s">
        <v>612</v>
      </c>
      <c r="C69" s="8" t="s">
        <v>613</v>
      </c>
      <c r="D69" s="8" t="s">
        <v>614</v>
      </c>
      <c r="E69" s="8">
        <v>2024</v>
      </c>
      <c r="F69" s="8" t="s">
        <v>124</v>
      </c>
      <c r="G69" s="8">
        <v>24</v>
      </c>
      <c r="H69" s="8">
        <v>21</v>
      </c>
      <c r="I69" s="8">
        <v>6978</v>
      </c>
      <c r="J69" s="8"/>
      <c r="K69" s="8"/>
      <c r="L69" s="8">
        <v>2</v>
      </c>
      <c r="M69" s="8" t="s">
        <v>615</v>
      </c>
      <c r="N69" s="9" t="s">
        <v>616</v>
      </c>
      <c r="O69" s="8" t="s">
        <v>32</v>
      </c>
      <c r="P69" s="8" t="s">
        <v>33</v>
      </c>
      <c r="Q69" s="8" t="s">
        <v>44</v>
      </c>
      <c r="R69" s="8" t="s">
        <v>34</v>
      </c>
      <c r="S69" s="8" t="s">
        <v>617</v>
      </c>
    </row>
    <row r="70" spans="1:19" x14ac:dyDescent="0.3">
      <c r="A70" s="8" t="s">
        <v>622</v>
      </c>
      <c r="B70" s="8" t="s">
        <v>623</v>
      </c>
      <c r="C70" s="8" t="s">
        <v>624</v>
      </c>
      <c r="D70" s="8" t="s">
        <v>625</v>
      </c>
      <c r="E70" s="8">
        <v>2024</v>
      </c>
      <c r="F70" s="8" t="s">
        <v>626</v>
      </c>
      <c r="G70" s="8"/>
      <c r="H70" s="8"/>
      <c r="I70" s="8"/>
      <c r="J70" s="8"/>
      <c r="K70" s="8"/>
      <c r="L70" s="8">
        <v>0</v>
      </c>
      <c r="M70" s="8" t="s">
        <v>627</v>
      </c>
      <c r="N70" s="9" t="s">
        <v>628</v>
      </c>
      <c r="O70" s="8" t="s">
        <v>70</v>
      </c>
      <c r="P70" s="8" t="s">
        <v>33</v>
      </c>
      <c r="Q70" s="8"/>
      <c r="R70" s="8" t="s">
        <v>34</v>
      </c>
      <c r="S70" s="8" t="s">
        <v>629</v>
      </c>
    </row>
    <row r="71" spans="1:19" x14ac:dyDescent="0.3">
      <c r="A71" s="8" t="s">
        <v>630</v>
      </c>
      <c r="B71" s="8" t="s">
        <v>631</v>
      </c>
      <c r="C71" s="8" t="s">
        <v>632</v>
      </c>
      <c r="D71" s="8" t="s">
        <v>633</v>
      </c>
      <c r="E71" s="8">
        <v>2023</v>
      </c>
      <c r="F71" s="8" t="s">
        <v>634</v>
      </c>
      <c r="G71" s="8">
        <v>155</v>
      </c>
      <c r="H71" s="8"/>
      <c r="I71" s="8">
        <v>105223</v>
      </c>
      <c r="J71" s="8"/>
      <c r="K71" s="8"/>
      <c r="L71" s="8">
        <v>10</v>
      </c>
      <c r="M71" s="8" t="s">
        <v>635</v>
      </c>
      <c r="N71" s="9" t="s">
        <v>636</v>
      </c>
      <c r="O71" s="8" t="s">
        <v>32</v>
      </c>
      <c r="P71" s="8" t="s">
        <v>33</v>
      </c>
      <c r="Q71" s="8" t="s">
        <v>532</v>
      </c>
      <c r="R71" s="8" t="s">
        <v>34</v>
      </c>
      <c r="S71" s="8" t="s">
        <v>637</v>
      </c>
    </row>
    <row r="72" spans="1:19" x14ac:dyDescent="0.3">
      <c r="A72" s="8" t="s">
        <v>638</v>
      </c>
      <c r="B72" s="8" t="s">
        <v>639</v>
      </c>
      <c r="C72" s="8" t="s">
        <v>640</v>
      </c>
      <c r="D72" s="8" t="s">
        <v>641</v>
      </c>
      <c r="E72" s="8">
        <v>2025</v>
      </c>
      <c r="F72" s="8" t="s">
        <v>301</v>
      </c>
      <c r="G72" s="8">
        <v>13435</v>
      </c>
      <c r="H72" s="8"/>
      <c r="I72" s="8">
        <v>1343514</v>
      </c>
      <c r="J72" s="8"/>
      <c r="K72" s="8"/>
      <c r="L72" s="8">
        <v>0</v>
      </c>
      <c r="M72" s="8" t="s">
        <v>642</v>
      </c>
      <c r="N72" s="9" t="s">
        <v>643</v>
      </c>
      <c r="O72" s="8" t="s">
        <v>70</v>
      </c>
      <c r="P72" s="8" t="s">
        <v>33</v>
      </c>
      <c r="Q72" s="8"/>
      <c r="R72" s="8" t="s">
        <v>34</v>
      </c>
      <c r="S72" s="8" t="s">
        <v>644</v>
      </c>
    </row>
    <row r="73" spans="1:19" x14ac:dyDescent="0.3">
      <c r="A73" s="8" t="s">
        <v>645</v>
      </c>
      <c r="B73" s="8" t="s">
        <v>646</v>
      </c>
      <c r="C73" s="8" t="s">
        <v>647</v>
      </c>
      <c r="D73" s="8" t="s">
        <v>648</v>
      </c>
      <c r="E73" s="8">
        <v>2024</v>
      </c>
      <c r="F73" s="8" t="s">
        <v>649</v>
      </c>
      <c r="G73" s="8"/>
      <c r="H73" s="8"/>
      <c r="I73" s="8"/>
      <c r="J73" s="8"/>
      <c r="K73" s="8"/>
      <c r="L73" s="8">
        <v>1</v>
      </c>
      <c r="M73" s="8" t="s">
        <v>650</v>
      </c>
      <c r="N73" s="9" t="s">
        <v>651</v>
      </c>
      <c r="O73" s="8" t="s">
        <v>70</v>
      </c>
      <c r="P73" s="8" t="s">
        <v>33</v>
      </c>
      <c r="Q73" s="8"/>
      <c r="R73" s="8" t="s">
        <v>34</v>
      </c>
      <c r="S73" s="8" t="s">
        <v>652</v>
      </c>
    </row>
    <row r="74" spans="1:19" x14ac:dyDescent="0.3">
      <c r="A74" s="8" t="s">
        <v>653</v>
      </c>
      <c r="B74" s="8" t="s">
        <v>654</v>
      </c>
      <c r="C74" s="8" t="s">
        <v>655</v>
      </c>
      <c r="D74" s="8" t="s">
        <v>656</v>
      </c>
      <c r="E74" s="8">
        <v>2024</v>
      </c>
      <c r="F74" s="8" t="s">
        <v>657</v>
      </c>
      <c r="G74" s="8">
        <v>190</v>
      </c>
      <c r="H74" s="8"/>
      <c r="I74" s="8">
        <v>105625</v>
      </c>
      <c r="J74" s="8"/>
      <c r="K74" s="8"/>
      <c r="L74" s="8">
        <v>8</v>
      </c>
      <c r="M74" s="8" t="s">
        <v>658</v>
      </c>
      <c r="N74" s="9" t="s">
        <v>659</v>
      </c>
      <c r="O74" s="8" t="s">
        <v>32</v>
      </c>
      <c r="P74" s="8" t="s">
        <v>33</v>
      </c>
      <c r="Q74" s="8"/>
      <c r="R74" s="8" t="s">
        <v>34</v>
      </c>
      <c r="S74" s="8" t="s">
        <v>660</v>
      </c>
    </row>
    <row r="75" spans="1:19" x14ac:dyDescent="0.3">
      <c r="A75" s="8" t="s">
        <v>661</v>
      </c>
      <c r="B75" s="8" t="s">
        <v>662</v>
      </c>
      <c r="C75" s="8" t="s">
        <v>663</v>
      </c>
      <c r="D75" s="8" t="s">
        <v>664</v>
      </c>
      <c r="E75" s="8">
        <v>2024</v>
      </c>
      <c r="F75" s="8" t="s">
        <v>665</v>
      </c>
      <c r="G75" s="8"/>
      <c r="H75" s="8"/>
      <c r="I75" s="8"/>
      <c r="J75" s="8">
        <v>672</v>
      </c>
      <c r="K75" s="8">
        <v>677</v>
      </c>
      <c r="L75" s="8">
        <v>1</v>
      </c>
      <c r="M75" s="8" t="s">
        <v>666</v>
      </c>
      <c r="N75" s="9" t="s">
        <v>667</v>
      </c>
      <c r="O75" s="8" t="s">
        <v>70</v>
      </c>
      <c r="P75" s="8" t="s">
        <v>33</v>
      </c>
      <c r="Q75" s="8"/>
      <c r="R75" s="8" t="s">
        <v>34</v>
      </c>
      <c r="S75" s="8" t="s">
        <v>668</v>
      </c>
    </row>
    <row r="76" spans="1:19" x14ac:dyDescent="0.3">
      <c r="A76" s="8"/>
      <c r="B76" s="8"/>
      <c r="C76" s="8"/>
      <c r="D76" s="8" t="s">
        <v>669</v>
      </c>
      <c r="E76" s="8">
        <v>2025</v>
      </c>
      <c r="F76" s="8" t="s">
        <v>301</v>
      </c>
      <c r="G76" s="8">
        <v>13619</v>
      </c>
      <c r="H76" s="8"/>
      <c r="I76" s="8"/>
      <c r="J76" s="8"/>
      <c r="K76" s="8"/>
      <c r="L76" s="8">
        <v>0</v>
      </c>
      <c r="M76" s="8"/>
      <c r="N76" s="9" t="s">
        <v>670</v>
      </c>
      <c r="O76" s="8" t="s">
        <v>492</v>
      </c>
      <c r="P76" s="8" t="s">
        <v>33</v>
      </c>
      <c r="Q76" s="8"/>
      <c r="R76" s="8" t="s">
        <v>34</v>
      </c>
      <c r="S76" s="8" t="s">
        <v>671</v>
      </c>
    </row>
    <row r="77" spans="1:19" x14ac:dyDescent="0.3">
      <c r="A77" s="8" t="s">
        <v>917</v>
      </c>
      <c r="B77" s="8" t="s">
        <v>916</v>
      </c>
      <c r="C77" s="8" t="s">
        <v>915</v>
      </c>
      <c r="D77" s="8" t="s">
        <v>914</v>
      </c>
      <c r="E77" s="8">
        <v>2022</v>
      </c>
      <c r="F77" s="8" t="s">
        <v>894</v>
      </c>
      <c r="G77" s="8"/>
      <c r="H77" s="8"/>
      <c r="I77" s="8"/>
      <c r="J77" s="8">
        <v>147</v>
      </c>
      <c r="K77" s="8">
        <v>154</v>
      </c>
      <c r="L77" s="8">
        <v>1</v>
      </c>
      <c r="M77" s="8" t="s">
        <v>913</v>
      </c>
      <c r="N77" s="9" t="s">
        <v>912</v>
      </c>
      <c r="O77" s="8" t="s">
        <v>70</v>
      </c>
      <c r="P77" s="8" t="s">
        <v>33</v>
      </c>
      <c r="Q77" s="8"/>
      <c r="R77" s="8" t="s">
        <v>34</v>
      </c>
      <c r="S77" s="8" t="s">
        <v>911</v>
      </c>
    </row>
    <row r="78" spans="1:19" x14ac:dyDescent="0.3">
      <c r="A78" s="8" t="s">
        <v>910</v>
      </c>
      <c r="B78" s="8" t="s">
        <v>909</v>
      </c>
      <c r="C78" s="8" t="s">
        <v>908</v>
      </c>
      <c r="D78" s="8" t="s">
        <v>907</v>
      </c>
      <c r="E78" s="8">
        <v>2021</v>
      </c>
      <c r="F78" s="8" t="s">
        <v>906</v>
      </c>
      <c r="G78" s="8">
        <v>21</v>
      </c>
      <c r="H78" s="8">
        <v>3</v>
      </c>
      <c r="I78" s="8">
        <v>742</v>
      </c>
      <c r="J78" s="8">
        <v>1</v>
      </c>
      <c r="K78" s="8">
        <v>23</v>
      </c>
      <c r="L78" s="8">
        <v>240</v>
      </c>
      <c r="M78" s="8" t="s">
        <v>905</v>
      </c>
      <c r="N78" s="9" t="s">
        <v>904</v>
      </c>
      <c r="O78" s="8" t="s">
        <v>32</v>
      </c>
      <c r="P78" s="8" t="s">
        <v>33</v>
      </c>
      <c r="Q78" s="8" t="s">
        <v>44</v>
      </c>
      <c r="R78" s="8" t="s">
        <v>34</v>
      </c>
      <c r="S78" s="8" t="s">
        <v>903</v>
      </c>
    </row>
    <row r="79" spans="1:19" x14ac:dyDescent="0.3">
      <c r="A79" s="8" t="s">
        <v>686</v>
      </c>
      <c r="B79" s="8" t="s">
        <v>685</v>
      </c>
      <c r="C79" s="8" t="s">
        <v>684</v>
      </c>
      <c r="D79" s="8" t="s">
        <v>902</v>
      </c>
      <c r="E79" s="8">
        <v>2024</v>
      </c>
      <c r="F79" s="8" t="s">
        <v>124</v>
      </c>
      <c r="G79" s="8">
        <v>24</v>
      </c>
      <c r="H79" s="8">
        <v>2</v>
      </c>
      <c r="I79" s="8">
        <v>430</v>
      </c>
      <c r="J79" s="8"/>
      <c r="K79" s="8"/>
      <c r="L79" s="8">
        <v>8</v>
      </c>
      <c r="M79" s="8" t="s">
        <v>901</v>
      </c>
      <c r="N79" s="9" t="s">
        <v>900</v>
      </c>
      <c r="O79" s="8" t="s">
        <v>32</v>
      </c>
      <c r="P79" s="8" t="s">
        <v>33</v>
      </c>
      <c r="Q79" s="8" t="s">
        <v>44</v>
      </c>
      <c r="R79" s="8" t="s">
        <v>34</v>
      </c>
      <c r="S79" s="8" t="s">
        <v>899</v>
      </c>
    </row>
    <row r="80" spans="1:19" x14ac:dyDescent="0.3">
      <c r="A80" s="8" t="s">
        <v>898</v>
      </c>
      <c r="B80" s="8" t="s">
        <v>897</v>
      </c>
      <c r="C80" s="8" t="s">
        <v>896</v>
      </c>
      <c r="D80" s="8" t="s">
        <v>895</v>
      </c>
      <c r="E80" s="8">
        <v>2022</v>
      </c>
      <c r="F80" s="8" t="s">
        <v>894</v>
      </c>
      <c r="G80" s="8"/>
      <c r="H80" s="8"/>
      <c r="I80" s="8"/>
      <c r="J80" s="8">
        <v>169</v>
      </c>
      <c r="K80" s="8">
        <v>181</v>
      </c>
      <c r="L80" s="8">
        <v>0</v>
      </c>
      <c r="M80" s="8" t="s">
        <v>893</v>
      </c>
      <c r="N80" s="9" t="s">
        <v>892</v>
      </c>
      <c r="O80" s="8" t="s">
        <v>70</v>
      </c>
      <c r="P80" s="8" t="s">
        <v>33</v>
      </c>
      <c r="Q80" s="8"/>
      <c r="R80" s="8" t="s">
        <v>34</v>
      </c>
      <c r="S80" s="8" t="s">
        <v>891</v>
      </c>
    </row>
    <row r="81" spans="1:19" x14ac:dyDescent="0.3">
      <c r="A81" s="8" t="s">
        <v>890</v>
      </c>
      <c r="B81" s="8" t="s">
        <v>889</v>
      </c>
      <c r="C81" s="8" t="s">
        <v>888</v>
      </c>
      <c r="D81" s="8" t="s">
        <v>887</v>
      </c>
      <c r="E81" s="8">
        <v>2024</v>
      </c>
      <c r="F81" s="8" t="s">
        <v>886</v>
      </c>
      <c r="G81" s="8"/>
      <c r="H81" s="8"/>
      <c r="I81" s="8"/>
      <c r="J81" s="8">
        <v>140</v>
      </c>
      <c r="K81" s="8">
        <v>145</v>
      </c>
      <c r="L81" s="8">
        <v>1</v>
      </c>
      <c r="M81" s="8" t="s">
        <v>885</v>
      </c>
      <c r="N81" s="9" t="s">
        <v>884</v>
      </c>
      <c r="O81" s="8" t="s">
        <v>70</v>
      </c>
      <c r="P81" s="8" t="s">
        <v>33</v>
      </c>
      <c r="Q81" s="8"/>
      <c r="R81" s="8" t="s">
        <v>34</v>
      </c>
      <c r="S81" s="8" t="s">
        <v>883</v>
      </c>
    </row>
    <row r="82" spans="1:19" x14ac:dyDescent="0.3">
      <c r="A82" s="8" t="s">
        <v>882</v>
      </c>
      <c r="B82" s="8" t="s">
        <v>881</v>
      </c>
      <c r="C82" s="8" t="s">
        <v>880</v>
      </c>
      <c r="D82" s="8" t="s">
        <v>879</v>
      </c>
      <c r="E82" s="8">
        <v>2022</v>
      </c>
      <c r="F82" s="8" t="s">
        <v>675</v>
      </c>
      <c r="G82" s="8">
        <v>70</v>
      </c>
      <c r="H82" s="8">
        <v>9</v>
      </c>
      <c r="I82" s="8"/>
      <c r="J82" s="8">
        <v>777</v>
      </c>
      <c r="K82" s="8">
        <v>786</v>
      </c>
      <c r="L82" s="8">
        <v>11</v>
      </c>
      <c r="M82" s="8" t="s">
        <v>878</v>
      </c>
      <c r="N82" s="9" t="s">
        <v>877</v>
      </c>
      <c r="O82" s="8" t="s">
        <v>32</v>
      </c>
      <c r="P82" s="8" t="s">
        <v>33</v>
      </c>
      <c r="Q82" s="8" t="s">
        <v>280</v>
      </c>
      <c r="R82" s="8" t="s">
        <v>34</v>
      </c>
      <c r="S82" s="8" t="s">
        <v>876</v>
      </c>
    </row>
    <row r="83" spans="1:19" x14ac:dyDescent="0.3">
      <c r="A83" s="8" t="s">
        <v>875</v>
      </c>
      <c r="B83" s="8" t="s">
        <v>874</v>
      </c>
      <c r="C83" s="8" t="s">
        <v>873</v>
      </c>
      <c r="D83" s="8" t="s">
        <v>872</v>
      </c>
      <c r="E83" s="8">
        <v>2022</v>
      </c>
      <c r="F83" s="8" t="s">
        <v>871</v>
      </c>
      <c r="G83" s="8">
        <v>14</v>
      </c>
      <c r="H83" s="8">
        <v>1</v>
      </c>
      <c r="I83" s="8"/>
      <c r="J83" s="8">
        <v>51</v>
      </c>
      <c r="K83" s="8">
        <v>54</v>
      </c>
      <c r="L83" s="8">
        <v>9</v>
      </c>
      <c r="M83" s="8" t="s">
        <v>870</v>
      </c>
      <c r="N83" s="9" t="s">
        <v>869</v>
      </c>
      <c r="O83" s="8" t="s">
        <v>32</v>
      </c>
      <c r="P83" s="8" t="s">
        <v>33</v>
      </c>
      <c r="Q83" s="8" t="s">
        <v>403</v>
      </c>
      <c r="R83" s="8" t="s">
        <v>34</v>
      </c>
      <c r="S83" s="8" t="s">
        <v>868</v>
      </c>
    </row>
    <row r="84" spans="1:19" x14ac:dyDescent="0.3">
      <c r="A84" s="8" t="s">
        <v>867</v>
      </c>
      <c r="B84" s="8" t="s">
        <v>866</v>
      </c>
      <c r="C84" s="8" t="s">
        <v>865</v>
      </c>
      <c r="D84" s="8" t="s">
        <v>864</v>
      </c>
      <c r="E84" s="8">
        <v>2024</v>
      </c>
      <c r="F84" s="8" t="s">
        <v>863</v>
      </c>
      <c r="G84" s="8">
        <v>6</v>
      </c>
      <c r="H84" s="8">
        <v>4</v>
      </c>
      <c r="I84" s="8" t="s">
        <v>862</v>
      </c>
      <c r="J84" s="8"/>
      <c r="K84" s="8"/>
      <c r="L84" s="8">
        <v>0</v>
      </c>
      <c r="M84" s="8" t="s">
        <v>861</v>
      </c>
      <c r="N84" s="9" t="s">
        <v>860</v>
      </c>
      <c r="O84" s="8" t="s">
        <v>32</v>
      </c>
      <c r="P84" s="8" t="s">
        <v>33</v>
      </c>
      <c r="Q84" s="8" t="s">
        <v>44</v>
      </c>
      <c r="R84" s="8" t="s">
        <v>34</v>
      </c>
      <c r="S84" s="8" t="s">
        <v>859</v>
      </c>
    </row>
    <row r="85" spans="1:19" x14ac:dyDescent="0.3">
      <c r="A85" s="8" t="s">
        <v>858</v>
      </c>
      <c r="B85" s="8" t="s">
        <v>857</v>
      </c>
      <c r="C85" s="8" t="s">
        <v>856</v>
      </c>
      <c r="D85" s="8" t="s">
        <v>855</v>
      </c>
      <c r="E85" s="8">
        <v>2022</v>
      </c>
      <c r="F85" s="8" t="s">
        <v>854</v>
      </c>
      <c r="G85" s="8">
        <v>8</v>
      </c>
      <c r="H85" s="8"/>
      <c r="I85" s="8"/>
      <c r="J85" s="8">
        <v>57</v>
      </c>
      <c r="K85" s="8">
        <v>67</v>
      </c>
      <c r="L85" s="8">
        <v>0</v>
      </c>
      <c r="M85" s="8"/>
      <c r="N85" s="9" t="s">
        <v>853</v>
      </c>
      <c r="O85" s="8" t="s">
        <v>70</v>
      </c>
      <c r="P85" s="8" t="s">
        <v>33</v>
      </c>
      <c r="Q85" s="8"/>
      <c r="R85" s="8" t="s">
        <v>34</v>
      </c>
      <c r="S85" s="8" t="s">
        <v>852</v>
      </c>
    </row>
    <row r="86" spans="1:19" x14ac:dyDescent="0.3">
      <c r="A86" s="8" t="s">
        <v>851</v>
      </c>
      <c r="B86" s="8" t="s">
        <v>850</v>
      </c>
      <c r="C86" s="8" t="s">
        <v>849</v>
      </c>
      <c r="D86" s="8" t="s">
        <v>848</v>
      </c>
      <c r="E86" s="8">
        <v>2025</v>
      </c>
      <c r="F86" s="8" t="s">
        <v>760</v>
      </c>
      <c r="G86" s="8">
        <v>238</v>
      </c>
      <c r="H86" s="8"/>
      <c r="I86" s="8">
        <v>110809</v>
      </c>
      <c r="J86" s="8"/>
      <c r="K86" s="8"/>
      <c r="L86" s="8">
        <v>1</v>
      </c>
      <c r="M86" s="8" t="s">
        <v>847</v>
      </c>
      <c r="N86" s="9" t="s">
        <v>846</v>
      </c>
      <c r="O86" s="8" t="s">
        <v>32</v>
      </c>
      <c r="P86" s="8" t="s">
        <v>33</v>
      </c>
      <c r="Q86" s="8" t="s">
        <v>532</v>
      </c>
      <c r="R86" s="8" t="s">
        <v>34</v>
      </c>
      <c r="S86" s="8" t="s">
        <v>845</v>
      </c>
    </row>
    <row r="87" spans="1:19" x14ac:dyDescent="0.3">
      <c r="A87" s="8" t="s">
        <v>844</v>
      </c>
      <c r="B87" s="8" t="s">
        <v>843</v>
      </c>
      <c r="C87" s="8" t="s">
        <v>842</v>
      </c>
      <c r="D87" s="8" t="s">
        <v>841</v>
      </c>
      <c r="E87" s="8">
        <v>2023</v>
      </c>
      <c r="F87" s="8" t="s">
        <v>840</v>
      </c>
      <c r="G87" s="8" t="s">
        <v>839</v>
      </c>
      <c r="H87" s="8"/>
      <c r="I87" s="8"/>
      <c r="J87" s="8">
        <v>189</v>
      </c>
      <c r="K87" s="8">
        <v>205</v>
      </c>
      <c r="L87" s="8">
        <v>6</v>
      </c>
      <c r="M87" s="8" t="s">
        <v>838</v>
      </c>
      <c r="N87" s="9" t="s">
        <v>837</v>
      </c>
      <c r="O87" s="8" t="s">
        <v>70</v>
      </c>
      <c r="P87" s="8" t="s">
        <v>33</v>
      </c>
      <c r="Q87" s="8"/>
      <c r="R87" s="8" t="s">
        <v>34</v>
      </c>
      <c r="S87" s="8" t="s">
        <v>836</v>
      </c>
    </row>
    <row r="88" spans="1:19" x14ac:dyDescent="0.3">
      <c r="A88" s="8" t="s">
        <v>835</v>
      </c>
      <c r="B88" s="8" t="s">
        <v>834</v>
      </c>
      <c r="C88" s="8" t="s">
        <v>833</v>
      </c>
      <c r="D88" s="8" t="s">
        <v>832</v>
      </c>
      <c r="E88" s="8">
        <v>2024</v>
      </c>
      <c r="F88" s="8" t="s">
        <v>246</v>
      </c>
      <c r="G88" s="8" t="s">
        <v>831</v>
      </c>
      <c r="H88" s="8"/>
      <c r="I88" s="8"/>
      <c r="J88" s="8">
        <v>242</v>
      </c>
      <c r="K88" s="8">
        <v>252</v>
      </c>
      <c r="L88" s="8">
        <v>7</v>
      </c>
      <c r="M88" s="8" t="s">
        <v>830</v>
      </c>
      <c r="N88" s="9" t="s">
        <v>829</v>
      </c>
      <c r="O88" s="8" t="s">
        <v>70</v>
      </c>
      <c r="P88" s="8" t="s">
        <v>33</v>
      </c>
      <c r="Q88" s="8"/>
      <c r="R88" s="8" t="s">
        <v>34</v>
      </c>
      <c r="S88" s="8" t="s">
        <v>828</v>
      </c>
    </row>
    <row r="89" spans="1:19" x14ac:dyDescent="0.3">
      <c r="A89" s="8" t="s">
        <v>827</v>
      </c>
      <c r="B89" s="8" t="s">
        <v>826</v>
      </c>
      <c r="C89" s="8" t="s">
        <v>825</v>
      </c>
      <c r="D89" s="8" t="s">
        <v>824</v>
      </c>
      <c r="E89" s="8">
        <v>2021</v>
      </c>
      <c r="F89" s="8" t="s">
        <v>584</v>
      </c>
      <c r="G89" s="8">
        <v>9</v>
      </c>
      <c r="H89" s="8"/>
      <c r="I89" s="8">
        <v>9511265</v>
      </c>
      <c r="J89" s="8">
        <v>115053</v>
      </c>
      <c r="K89" s="8">
        <v>115067</v>
      </c>
      <c r="L89" s="8">
        <v>25</v>
      </c>
      <c r="M89" s="8" t="s">
        <v>823</v>
      </c>
      <c r="N89" s="9" t="s">
        <v>822</v>
      </c>
      <c r="O89" s="8" t="s">
        <v>32</v>
      </c>
      <c r="P89" s="8" t="s">
        <v>33</v>
      </c>
      <c r="Q89" s="8" t="s">
        <v>44</v>
      </c>
      <c r="R89" s="8" t="s">
        <v>34</v>
      </c>
      <c r="S89" s="8" t="s">
        <v>821</v>
      </c>
    </row>
    <row r="90" spans="1:19" x14ac:dyDescent="0.3">
      <c r="A90" s="8" t="s">
        <v>820</v>
      </c>
      <c r="B90" s="8" t="s">
        <v>819</v>
      </c>
      <c r="C90" s="8" t="s">
        <v>818</v>
      </c>
      <c r="D90" s="8" t="s">
        <v>817</v>
      </c>
      <c r="E90" s="8">
        <v>2026</v>
      </c>
      <c r="F90" s="8" t="s">
        <v>816</v>
      </c>
      <c r="G90" s="8"/>
      <c r="H90" s="8"/>
      <c r="I90" s="8"/>
      <c r="J90" s="8"/>
      <c r="K90" s="8"/>
      <c r="L90" s="8">
        <v>0</v>
      </c>
      <c r="M90" s="8" t="s">
        <v>815</v>
      </c>
      <c r="N90" s="9" t="s">
        <v>814</v>
      </c>
      <c r="O90" s="8" t="s">
        <v>32</v>
      </c>
      <c r="P90" s="8" t="s">
        <v>813</v>
      </c>
      <c r="Q90" s="8" t="s">
        <v>44</v>
      </c>
      <c r="R90" s="8" t="s">
        <v>34</v>
      </c>
      <c r="S90" s="8" t="s">
        <v>812</v>
      </c>
    </row>
    <row r="91" spans="1:19" x14ac:dyDescent="0.3">
      <c r="A91" s="8" t="s">
        <v>811</v>
      </c>
      <c r="B91" s="8" t="s">
        <v>810</v>
      </c>
      <c r="C91" s="8" t="s">
        <v>809</v>
      </c>
      <c r="D91" s="8" t="s">
        <v>808</v>
      </c>
      <c r="E91" s="8">
        <v>2023</v>
      </c>
      <c r="F91" s="8" t="s">
        <v>807</v>
      </c>
      <c r="G91" s="8">
        <v>25</v>
      </c>
      <c r="H91" s="8">
        <v>2</v>
      </c>
      <c r="I91" s="8"/>
      <c r="J91" s="8">
        <v>160</v>
      </c>
      <c r="K91" s="8">
        <v>191</v>
      </c>
      <c r="L91" s="8">
        <v>12</v>
      </c>
      <c r="M91" s="8" t="s">
        <v>806</v>
      </c>
      <c r="N91" s="9" t="s">
        <v>805</v>
      </c>
      <c r="O91" s="8" t="s">
        <v>32</v>
      </c>
      <c r="P91" s="8" t="s">
        <v>33</v>
      </c>
      <c r="Q91" s="8" t="s">
        <v>280</v>
      </c>
      <c r="R91" s="8" t="s">
        <v>34</v>
      </c>
      <c r="S91" s="8" t="s">
        <v>804</v>
      </c>
    </row>
    <row r="92" spans="1:19" x14ac:dyDescent="0.3">
      <c r="A92" s="8" t="s">
        <v>803</v>
      </c>
      <c r="B92" s="8" t="s">
        <v>802</v>
      </c>
      <c r="C92" s="8" t="s">
        <v>801</v>
      </c>
      <c r="D92" s="8" t="s">
        <v>800</v>
      </c>
      <c r="E92" s="8">
        <v>2023</v>
      </c>
      <c r="F92" s="8" t="s">
        <v>799</v>
      </c>
      <c r="G92" s="8">
        <v>21</v>
      </c>
      <c r="H92" s="8">
        <v>3</v>
      </c>
      <c r="I92" s="8"/>
      <c r="J92" s="8">
        <v>399</v>
      </c>
      <c r="K92" s="8">
        <v>407</v>
      </c>
      <c r="L92" s="8">
        <v>4</v>
      </c>
      <c r="M92" s="8" t="s">
        <v>798</v>
      </c>
      <c r="N92" s="9" t="s">
        <v>797</v>
      </c>
      <c r="O92" s="8" t="s">
        <v>32</v>
      </c>
      <c r="P92" s="8" t="s">
        <v>33</v>
      </c>
      <c r="Q92" s="8"/>
      <c r="R92" s="8" t="s">
        <v>34</v>
      </c>
      <c r="S92" s="8" t="s">
        <v>796</v>
      </c>
    </row>
    <row r="93" spans="1:19" x14ac:dyDescent="0.3">
      <c r="A93" s="8" t="s">
        <v>795</v>
      </c>
      <c r="B93" s="8" t="s">
        <v>794</v>
      </c>
      <c r="C93" s="8" t="s">
        <v>793</v>
      </c>
      <c r="D93" s="8" t="s">
        <v>792</v>
      </c>
      <c r="E93" s="8">
        <v>2022</v>
      </c>
      <c r="F93" s="8" t="s">
        <v>791</v>
      </c>
      <c r="G93" s="8">
        <v>70</v>
      </c>
      <c r="H93" s="8">
        <v>3</v>
      </c>
      <c r="I93" s="8"/>
      <c r="J93" s="8">
        <v>5803</v>
      </c>
      <c r="K93" s="8">
        <v>5820</v>
      </c>
      <c r="L93" s="8">
        <v>16</v>
      </c>
      <c r="M93" s="8" t="s">
        <v>790</v>
      </c>
      <c r="N93" s="9" t="s">
        <v>789</v>
      </c>
      <c r="O93" s="8" t="s">
        <v>32</v>
      </c>
      <c r="P93" s="8" t="s">
        <v>33</v>
      </c>
      <c r="Q93" s="8" t="s">
        <v>61</v>
      </c>
      <c r="R93" s="8" t="s">
        <v>34</v>
      </c>
      <c r="S93" s="8" t="s">
        <v>788</v>
      </c>
    </row>
    <row r="94" spans="1:19" x14ac:dyDescent="0.3">
      <c r="A94" s="8" t="s">
        <v>787</v>
      </c>
      <c r="B94" s="8" t="s">
        <v>786</v>
      </c>
      <c r="C94" s="8" t="s">
        <v>785</v>
      </c>
      <c r="D94" s="8" t="s">
        <v>784</v>
      </c>
      <c r="E94" s="8">
        <v>2026</v>
      </c>
      <c r="F94" s="8" t="s">
        <v>783</v>
      </c>
      <c r="G94" s="8">
        <v>681</v>
      </c>
      <c r="H94" s="8"/>
      <c r="I94" s="8">
        <v>133273</v>
      </c>
      <c r="J94" s="8"/>
      <c r="K94" s="8"/>
      <c r="L94" s="8">
        <v>0</v>
      </c>
      <c r="M94" s="8" t="s">
        <v>782</v>
      </c>
      <c r="N94" s="9" t="s">
        <v>781</v>
      </c>
      <c r="O94" s="8" t="s">
        <v>32</v>
      </c>
      <c r="P94" s="8" t="s">
        <v>33</v>
      </c>
      <c r="Q94" s="8"/>
      <c r="R94" s="8" t="s">
        <v>34</v>
      </c>
      <c r="S94" s="8" t="s">
        <v>780</v>
      </c>
    </row>
    <row r="95" spans="1:19" x14ac:dyDescent="0.3">
      <c r="A95" s="8" t="s">
        <v>779</v>
      </c>
      <c r="B95" s="8" t="s">
        <v>778</v>
      </c>
      <c r="C95" s="8" t="s">
        <v>777</v>
      </c>
      <c r="D95" s="8" t="s">
        <v>776</v>
      </c>
      <c r="E95" s="8">
        <v>2024</v>
      </c>
      <c r="F95" s="8" t="s">
        <v>775</v>
      </c>
      <c r="G95" s="8"/>
      <c r="H95" s="8"/>
      <c r="I95" s="8"/>
      <c r="J95" s="8">
        <v>5294</v>
      </c>
      <c r="K95" s="8">
        <v>5306</v>
      </c>
      <c r="L95" s="8">
        <v>0</v>
      </c>
      <c r="M95" s="8" t="s">
        <v>774</v>
      </c>
      <c r="N95" s="9" t="s">
        <v>773</v>
      </c>
      <c r="O95" s="8" t="s">
        <v>70</v>
      </c>
      <c r="P95" s="8" t="s">
        <v>33</v>
      </c>
      <c r="Q95" s="8"/>
      <c r="R95" s="8" t="s">
        <v>34</v>
      </c>
      <c r="S95" s="8" t="s">
        <v>772</v>
      </c>
    </row>
    <row r="96" spans="1:19" x14ac:dyDescent="0.3">
      <c r="A96" s="8" t="s">
        <v>771</v>
      </c>
      <c r="B96" s="8" t="s">
        <v>770</v>
      </c>
      <c r="C96" s="8" t="s">
        <v>769</v>
      </c>
      <c r="D96" s="8" t="s">
        <v>768</v>
      </c>
      <c r="E96" s="8">
        <v>2021</v>
      </c>
      <c r="F96" s="8" t="s">
        <v>745</v>
      </c>
      <c r="G96" s="8">
        <v>25</v>
      </c>
      <c r="H96" s="8">
        <v>8</v>
      </c>
      <c r="I96" s="8">
        <v>9320555</v>
      </c>
      <c r="J96" s="8">
        <v>3230</v>
      </c>
      <c r="K96" s="8">
        <v>3239</v>
      </c>
      <c r="L96" s="8">
        <v>3</v>
      </c>
      <c r="M96" s="8" t="s">
        <v>767</v>
      </c>
      <c r="N96" s="9" t="s">
        <v>766</v>
      </c>
      <c r="O96" s="8" t="s">
        <v>32</v>
      </c>
      <c r="P96" s="8" t="s">
        <v>33</v>
      </c>
      <c r="Q96" s="8"/>
      <c r="R96" s="8" t="s">
        <v>34</v>
      </c>
      <c r="S96" s="8" t="s">
        <v>765</v>
      </c>
    </row>
    <row r="97" spans="1:19" x14ac:dyDescent="0.3">
      <c r="A97" s="8" t="s">
        <v>764</v>
      </c>
      <c r="B97" s="8" t="s">
        <v>763</v>
      </c>
      <c r="C97" s="8" t="s">
        <v>762</v>
      </c>
      <c r="D97" s="8" t="s">
        <v>761</v>
      </c>
      <c r="E97" s="8">
        <v>2025</v>
      </c>
      <c r="F97" s="8" t="s">
        <v>760</v>
      </c>
      <c r="G97" s="8">
        <v>234</v>
      </c>
      <c r="H97" s="8"/>
      <c r="I97" s="8">
        <v>110265</v>
      </c>
      <c r="J97" s="8"/>
      <c r="K97" s="8"/>
      <c r="L97" s="8">
        <v>5</v>
      </c>
      <c r="M97" s="8" t="s">
        <v>759</v>
      </c>
      <c r="N97" s="9" t="s">
        <v>758</v>
      </c>
      <c r="O97" s="8" t="s">
        <v>32</v>
      </c>
      <c r="P97" s="8" t="s">
        <v>33</v>
      </c>
      <c r="Q97" s="8" t="s">
        <v>532</v>
      </c>
      <c r="R97" s="8" t="s">
        <v>34</v>
      </c>
      <c r="S97" s="8" t="s">
        <v>757</v>
      </c>
    </row>
    <row r="98" spans="1:19" x14ac:dyDescent="0.3">
      <c r="A98" s="8" t="s">
        <v>756</v>
      </c>
      <c r="B98" s="8" t="s">
        <v>755</v>
      </c>
      <c r="C98" s="8" t="s">
        <v>754</v>
      </c>
      <c r="D98" s="8" t="s">
        <v>753</v>
      </c>
      <c r="E98" s="8">
        <v>2022</v>
      </c>
      <c r="F98" s="8" t="s">
        <v>439</v>
      </c>
      <c r="G98" s="8">
        <v>351</v>
      </c>
      <c r="H98" s="8"/>
      <c r="I98" s="8"/>
      <c r="J98" s="8">
        <v>669</v>
      </c>
      <c r="K98" s="8">
        <v>677</v>
      </c>
      <c r="L98" s="8">
        <v>0</v>
      </c>
      <c r="M98" s="8" t="s">
        <v>752</v>
      </c>
      <c r="N98" s="9" t="s">
        <v>751</v>
      </c>
      <c r="O98" s="8" t="s">
        <v>70</v>
      </c>
      <c r="P98" s="8" t="s">
        <v>33</v>
      </c>
      <c r="Q98" s="8"/>
      <c r="R98" s="8" t="s">
        <v>34</v>
      </c>
      <c r="S98" s="8" t="s">
        <v>750</v>
      </c>
    </row>
    <row r="99" spans="1:19" x14ac:dyDescent="0.3">
      <c r="A99" s="8" t="s">
        <v>749</v>
      </c>
      <c r="B99" s="8" t="s">
        <v>748</v>
      </c>
      <c r="C99" s="8" t="s">
        <v>747</v>
      </c>
      <c r="D99" s="8" t="s">
        <v>746</v>
      </c>
      <c r="E99" s="8">
        <v>2024</v>
      </c>
      <c r="F99" s="8" t="s">
        <v>745</v>
      </c>
      <c r="G99" s="8">
        <v>28</v>
      </c>
      <c r="H99" s="8">
        <v>12</v>
      </c>
      <c r="I99" s="8"/>
      <c r="J99" s="8">
        <v>7251</v>
      </c>
      <c r="K99" s="8">
        <v>7262</v>
      </c>
      <c r="L99" s="8">
        <v>6</v>
      </c>
      <c r="M99" s="8" t="s">
        <v>744</v>
      </c>
      <c r="N99" s="9" t="s">
        <v>743</v>
      </c>
      <c r="O99" s="8" t="s">
        <v>32</v>
      </c>
      <c r="P99" s="8" t="s">
        <v>33</v>
      </c>
      <c r="Q99" s="8"/>
      <c r="R99" s="8" t="s">
        <v>34</v>
      </c>
      <c r="S99" s="8" t="s">
        <v>742</v>
      </c>
    </row>
    <row r="100" spans="1:19" x14ac:dyDescent="0.3">
      <c r="A100" s="8" t="s">
        <v>741</v>
      </c>
      <c r="B100" s="8" t="s">
        <v>740</v>
      </c>
      <c r="C100" s="8" t="s">
        <v>739</v>
      </c>
      <c r="D100" s="8" t="s">
        <v>738</v>
      </c>
      <c r="E100" s="8">
        <v>2024</v>
      </c>
      <c r="F100" s="8" t="s">
        <v>737</v>
      </c>
      <c r="G100" s="8">
        <v>352</v>
      </c>
      <c r="H100" s="8"/>
      <c r="I100" s="8"/>
      <c r="J100" s="8">
        <v>1481</v>
      </c>
      <c r="K100" s="8">
        <v>1489</v>
      </c>
      <c r="L100" s="8">
        <v>3</v>
      </c>
      <c r="M100" s="8" t="s">
        <v>736</v>
      </c>
      <c r="N100" s="9" t="s">
        <v>735</v>
      </c>
      <c r="O100" s="8" t="s">
        <v>70</v>
      </c>
      <c r="P100" s="8" t="s">
        <v>33</v>
      </c>
      <c r="Q100" s="8"/>
      <c r="R100" s="8" t="s">
        <v>34</v>
      </c>
      <c r="S100" s="8" t="s">
        <v>734</v>
      </c>
    </row>
    <row r="101" spans="1:19" x14ac:dyDescent="0.3">
      <c r="A101" s="8" t="s">
        <v>733</v>
      </c>
      <c r="B101" s="8" t="s">
        <v>732</v>
      </c>
      <c r="C101" s="8" t="s">
        <v>731</v>
      </c>
      <c r="D101" s="8" t="s">
        <v>730</v>
      </c>
      <c r="E101" s="8">
        <v>2023</v>
      </c>
      <c r="F101" s="8" t="s">
        <v>729</v>
      </c>
      <c r="G101" s="8"/>
      <c r="H101" s="8"/>
      <c r="I101" s="8"/>
      <c r="J101" s="8">
        <v>5324</v>
      </c>
      <c r="K101" s="8">
        <v>5331</v>
      </c>
      <c r="L101" s="8">
        <v>7</v>
      </c>
      <c r="M101" s="8" t="s">
        <v>728</v>
      </c>
      <c r="N101" s="9" t="s">
        <v>727</v>
      </c>
      <c r="O101" s="8" t="s">
        <v>70</v>
      </c>
      <c r="P101" s="8" t="s">
        <v>33</v>
      </c>
      <c r="Q101" s="8" t="s">
        <v>403</v>
      </c>
      <c r="R101" s="8" t="s">
        <v>34</v>
      </c>
      <c r="S101" s="8" t="s">
        <v>726</v>
      </c>
    </row>
    <row r="102" spans="1:19" x14ac:dyDescent="0.3">
      <c r="A102" s="8" t="s">
        <v>725</v>
      </c>
      <c r="B102" s="8" t="s">
        <v>724</v>
      </c>
      <c r="C102" s="8" t="s">
        <v>723</v>
      </c>
      <c r="D102" s="8" t="s">
        <v>722</v>
      </c>
      <c r="E102" s="8">
        <v>2025</v>
      </c>
      <c r="F102" s="8" t="s">
        <v>675</v>
      </c>
      <c r="G102" s="8">
        <v>73</v>
      </c>
      <c r="H102" s="8">
        <v>12</v>
      </c>
      <c r="I102" s="8"/>
      <c r="J102" s="8">
        <v>966</v>
      </c>
      <c r="K102" s="8">
        <v>976</v>
      </c>
      <c r="L102" s="8">
        <v>0</v>
      </c>
      <c r="M102" s="8" t="s">
        <v>721</v>
      </c>
      <c r="N102" s="9" t="s">
        <v>720</v>
      </c>
      <c r="O102" s="8" t="s">
        <v>32</v>
      </c>
      <c r="P102" s="8" t="s">
        <v>33</v>
      </c>
      <c r="Q102" s="8"/>
      <c r="R102" s="8" t="s">
        <v>34</v>
      </c>
      <c r="S102" s="8" t="s">
        <v>719</v>
      </c>
    </row>
    <row r="103" spans="1:19" x14ac:dyDescent="0.3">
      <c r="A103" s="8" t="s">
        <v>718</v>
      </c>
      <c r="B103" s="8" t="s">
        <v>717</v>
      </c>
      <c r="C103" s="8" t="s">
        <v>716</v>
      </c>
      <c r="D103" s="8" t="s">
        <v>715</v>
      </c>
      <c r="E103" s="8">
        <v>2024</v>
      </c>
      <c r="F103" s="8" t="s">
        <v>714</v>
      </c>
      <c r="G103" s="8">
        <v>94</v>
      </c>
      <c r="H103" s="8"/>
      <c r="I103" s="8">
        <v>106274</v>
      </c>
      <c r="J103" s="8"/>
      <c r="K103" s="8"/>
      <c r="L103" s="8">
        <v>4</v>
      </c>
      <c r="M103" s="8" t="s">
        <v>713</v>
      </c>
      <c r="N103" s="9" t="s">
        <v>712</v>
      </c>
      <c r="O103" s="8" t="s">
        <v>32</v>
      </c>
      <c r="P103" s="8" t="s">
        <v>33</v>
      </c>
      <c r="Q103" s="8" t="s">
        <v>280</v>
      </c>
      <c r="R103" s="8" t="s">
        <v>34</v>
      </c>
      <c r="S103" s="8" t="s">
        <v>711</v>
      </c>
    </row>
    <row r="104" spans="1:19" x14ac:dyDescent="0.3">
      <c r="A104" s="8" t="s">
        <v>710</v>
      </c>
      <c r="B104" s="8" t="s">
        <v>709</v>
      </c>
      <c r="C104" s="8" t="s">
        <v>708</v>
      </c>
      <c r="D104" s="8" t="s">
        <v>707</v>
      </c>
      <c r="E104" s="8">
        <v>2025</v>
      </c>
      <c r="F104" s="8" t="s">
        <v>706</v>
      </c>
      <c r="G104" s="8">
        <v>63</v>
      </c>
      <c r="H104" s="8">
        <v>5</v>
      </c>
      <c r="I104" s="8"/>
      <c r="J104" s="8">
        <v>1535</v>
      </c>
      <c r="K104" s="8">
        <v>1550</v>
      </c>
      <c r="L104" s="8">
        <v>2</v>
      </c>
      <c r="M104" s="8" t="s">
        <v>705</v>
      </c>
      <c r="N104" s="9" t="s">
        <v>704</v>
      </c>
      <c r="O104" s="8" t="s">
        <v>32</v>
      </c>
      <c r="P104" s="8" t="s">
        <v>33</v>
      </c>
      <c r="Q104" s="8"/>
      <c r="R104" s="8" t="s">
        <v>34</v>
      </c>
      <c r="S104" s="8" t="s">
        <v>703</v>
      </c>
    </row>
    <row r="105" spans="1:19" x14ac:dyDescent="0.3">
      <c r="A105" s="8" t="s">
        <v>702</v>
      </c>
      <c r="B105" s="8" t="s">
        <v>701</v>
      </c>
      <c r="C105" s="8" t="s">
        <v>700</v>
      </c>
      <c r="D105" s="8" t="s">
        <v>699</v>
      </c>
      <c r="E105" s="8">
        <v>2024</v>
      </c>
      <c r="F105" s="8" t="s">
        <v>698</v>
      </c>
      <c r="G105" s="8"/>
      <c r="H105" s="8"/>
      <c r="I105" s="8"/>
      <c r="J105" s="8"/>
      <c r="K105" s="8"/>
      <c r="L105" s="8">
        <v>1</v>
      </c>
      <c r="M105" s="8" t="s">
        <v>697</v>
      </c>
      <c r="N105" s="9" t="s">
        <v>696</v>
      </c>
      <c r="O105" s="8" t="s">
        <v>70</v>
      </c>
      <c r="P105" s="8" t="s">
        <v>33</v>
      </c>
      <c r="Q105" s="8"/>
      <c r="R105" s="8" t="s">
        <v>34</v>
      </c>
      <c r="S105" s="8" t="s">
        <v>695</v>
      </c>
    </row>
    <row r="106" spans="1:19" x14ac:dyDescent="0.3">
      <c r="A106" s="8" t="s">
        <v>694</v>
      </c>
      <c r="B106" s="8" t="s">
        <v>693</v>
      </c>
      <c r="C106" s="8" t="s">
        <v>692</v>
      </c>
      <c r="D106" s="8" t="s">
        <v>691</v>
      </c>
      <c r="E106" s="8">
        <v>2022</v>
      </c>
      <c r="F106" s="8" t="s">
        <v>690</v>
      </c>
      <c r="G106" s="8"/>
      <c r="H106" s="8"/>
      <c r="I106" s="8"/>
      <c r="J106" s="8"/>
      <c r="K106" s="8"/>
      <c r="L106" s="8">
        <v>11</v>
      </c>
      <c r="M106" s="8" t="s">
        <v>689</v>
      </c>
      <c r="N106" s="9" t="s">
        <v>688</v>
      </c>
      <c r="O106" s="8" t="s">
        <v>70</v>
      </c>
      <c r="P106" s="8" t="s">
        <v>33</v>
      </c>
      <c r="Q106" s="8"/>
      <c r="R106" s="8" t="s">
        <v>34</v>
      </c>
      <c r="S106" s="8" t="s">
        <v>687</v>
      </c>
    </row>
    <row r="107" spans="1:19" x14ac:dyDescent="0.3">
      <c r="A107" s="8" t="s">
        <v>686</v>
      </c>
      <c r="B107" s="8" t="s">
        <v>685</v>
      </c>
      <c r="C107" s="8" t="s">
        <v>684</v>
      </c>
      <c r="D107" s="8" t="s">
        <v>683</v>
      </c>
      <c r="E107" s="8">
        <v>2024</v>
      </c>
      <c r="F107" s="8" t="s">
        <v>124</v>
      </c>
      <c r="G107" s="8">
        <v>24</v>
      </c>
      <c r="H107" s="8">
        <v>19</v>
      </c>
      <c r="I107" s="8">
        <v>6314</v>
      </c>
      <c r="J107" s="8"/>
      <c r="K107" s="8"/>
      <c r="L107" s="8">
        <v>9</v>
      </c>
      <c r="M107" s="8" t="s">
        <v>682</v>
      </c>
      <c r="N107" s="9" t="s">
        <v>681</v>
      </c>
      <c r="O107" s="8" t="s">
        <v>32</v>
      </c>
      <c r="P107" s="8" t="s">
        <v>33</v>
      </c>
      <c r="Q107" s="8" t="s">
        <v>44</v>
      </c>
      <c r="R107" s="8" t="s">
        <v>34</v>
      </c>
      <c r="S107" s="8" t="s">
        <v>680</v>
      </c>
    </row>
    <row r="108" spans="1:19" x14ac:dyDescent="0.3">
      <c r="A108" s="8" t="s">
        <v>679</v>
      </c>
      <c r="B108" s="8" t="s">
        <v>678</v>
      </c>
      <c r="C108" s="8" t="s">
        <v>677</v>
      </c>
      <c r="D108" s="8" t="s">
        <v>676</v>
      </c>
      <c r="E108" s="8">
        <v>2022</v>
      </c>
      <c r="F108" s="8" t="s">
        <v>675</v>
      </c>
      <c r="G108" s="8">
        <v>70</v>
      </c>
      <c r="H108" s="8">
        <v>9</v>
      </c>
      <c r="I108" s="8"/>
      <c r="J108" s="8">
        <v>787</v>
      </c>
      <c r="K108" s="8">
        <v>792</v>
      </c>
      <c r="L108" s="8">
        <v>7</v>
      </c>
      <c r="M108" s="8" t="s">
        <v>674</v>
      </c>
      <c r="N108" s="9" t="s">
        <v>673</v>
      </c>
      <c r="O108" s="8" t="s">
        <v>32</v>
      </c>
      <c r="P108" s="8" t="s">
        <v>33</v>
      </c>
      <c r="Q108" s="8"/>
      <c r="R108" s="8" t="s">
        <v>34</v>
      </c>
      <c r="S108" s="8" t="s">
        <v>672</v>
      </c>
    </row>
    <row r="109" spans="1:19" x14ac:dyDescent="0.3">
      <c r="A109" s="13" t="s">
        <v>24</v>
      </c>
      <c r="B109" s="13" t="s">
        <v>25</v>
      </c>
      <c r="C109" s="13" t="s">
        <v>26</v>
      </c>
      <c r="D109" s="13" t="s">
        <v>27</v>
      </c>
      <c r="E109" s="13">
        <v>2024</v>
      </c>
      <c r="F109" s="13" t="s">
        <v>28</v>
      </c>
      <c r="G109" s="13">
        <v>250</v>
      </c>
      <c r="H109" s="13"/>
      <c r="I109" s="13" t="s">
        <v>29</v>
      </c>
      <c r="J109" s="13"/>
      <c r="K109" s="13"/>
      <c r="L109" s="13">
        <v>29</v>
      </c>
      <c r="M109" s="13" t="s">
        <v>30</v>
      </c>
      <c r="N109" s="13" t="s">
        <v>31</v>
      </c>
      <c r="O109" s="13" t="s">
        <v>32</v>
      </c>
      <c r="P109" s="13" t="s">
        <v>33</v>
      </c>
      <c r="Q109" s="13"/>
      <c r="R109" s="13" t="s">
        <v>34</v>
      </c>
      <c r="S109" s="13" t="s">
        <v>35</v>
      </c>
    </row>
    <row r="110" spans="1:19" x14ac:dyDescent="0.3">
      <c r="A110" s="13" t="s">
        <v>36</v>
      </c>
      <c r="B110" s="13" t="s">
        <v>37</v>
      </c>
      <c r="C110" s="13" t="s">
        <v>38</v>
      </c>
      <c r="D110" s="13" t="s">
        <v>39</v>
      </c>
      <c r="E110" s="13">
        <v>2024</v>
      </c>
      <c r="F110" s="13" t="s">
        <v>40</v>
      </c>
      <c r="G110" s="13">
        <v>14</v>
      </c>
      <c r="H110" s="13">
        <v>8</v>
      </c>
      <c r="I110" s="13" t="s">
        <v>41</v>
      </c>
      <c r="J110" s="13"/>
      <c r="K110" s="13"/>
      <c r="L110" s="13">
        <v>8</v>
      </c>
      <c r="M110" s="13" t="s">
        <v>42</v>
      </c>
      <c r="N110" s="13" t="s">
        <v>43</v>
      </c>
      <c r="O110" s="13" t="s">
        <v>32</v>
      </c>
      <c r="P110" s="13" t="s">
        <v>33</v>
      </c>
      <c r="Q110" s="13" t="s">
        <v>44</v>
      </c>
      <c r="R110" s="13" t="s">
        <v>34</v>
      </c>
      <c r="S110" s="13" t="s">
        <v>45</v>
      </c>
    </row>
    <row r="111" spans="1:19" x14ac:dyDescent="0.3">
      <c r="A111" s="13" t="s">
        <v>54</v>
      </c>
      <c r="B111" s="13" t="s">
        <v>55</v>
      </c>
      <c r="C111" s="13" t="s">
        <v>56</v>
      </c>
      <c r="D111" s="13" t="s">
        <v>57</v>
      </c>
      <c r="E111" s="13">
        <v>2026</v>
      </c>
      <c r="F111" s="13" t="s">
        <v>40</v>
      </c>
      <c r="G111" s="13">
        <v>16</v>
      </c>
      <c r="H111" s="13">
        <v>3</v>
      </c>
      <c r="I111" s="13">
        <v>1559</v>
      </c>
      <c r="J111" s="13"/>
      <c r="K111" s="13"/>
      <c r="L111" s="13">
        <v>0</v>
      </c>
      <c r="M111" s="13" t="s">
        <v>58</v>
      </c>
      <c r="N111" s="13" t="s">
        <v>59</v>
      </c>
      <c r="O111" s="13" t="s">
        <v>32</v>
      </c>
      <c r="P111" s="13" t="s">
        <v>33</v>
      </c>
      <c r="Q111" s="13" t="s">
        <v>44</v>
      </c>
      <c r="R111" s="13" t="s">
        <v>34</v>
      </c>
      <c r="S111" s="13" t="s">
        <v>60</v>
      </c>
    </row>
    <row r="112" spans="1:19" x14ac:dyDescent="0.3">
      <c r="A112" s="13" t="s">
        <v>69</v>
      </c>
      <c r="B112" s="13" t="s">
        <v>68</v>
      </c>
      <c r="C112" s="13" t="s">
        <v>67</v>
      </c>
      <c r="D112" s="13" t="s">
        <v>66</v>
      </c>
      <c r="E112" s="13">
        <v>2025</v>
      </c>
      <c r="F112" s="13" t="s">
        <v>65</v>
      </c>
      <c r="G112" s="13">
        <v>16</v>
      </c>
      <c r="H112" s="13">
        <v>5</v>
      </c>
      <c r="I112" s="13"/>
      <c r="J112" s="13">
        <v>173</v>
      </c>
      <c r="K112" s="13">
        <v>181</v>
      </c>
      <c r="L112" s="13">
        <v>0</v>
      </c>
      <c r="M112" s="13" t="s">
        <v>64</v>
      </c>
      <c r="N112" s="13" t="s">
        <v>63</v>
      </c>
      <c r="O112" s="13" t="s">
        <v>32</v>
      </c>
      <c r="P112" s="13" t="s">
        <v>33</v>
      </c>
      <c r="Q112" s="13" t="s">
        <v>61</v>
      </c>
      <c r="R112" s="13" t="s">
        <v>34</v>
      </c>
      <c r="S112" s="13" t="s">
        <v>62</v>
      </c>
    </row>
    <row r="113" spans="1:19" x14ac:dyDescent="0.3">
      <c r="A113" s="13" t="s">
        <v>46</v>
      </c>
      <c r="B113" s="13" t="s">
        <v>47</v>
      </c>
      <c r="C113" s="13" t="s">
        <v>48</v>
      </c>
      <c r="D113" s="13" t="s">
        <v>49</v>
      </c>
      <c r="E113" s="13">
        <v>2025</v>
      </c>
      <c r="F113" s="13" t="s">
        <v>50</v>
      </c>
      <c r="G113" s="13">
        <v>12</v>
      </c>
      <c r="H113" s="13">
        <v>1</v>
      </c>
      <c r="I113" s="13">
        <v>793</v>
      </c>
      <c r="J113" s="13"/>
      <c r="K113" s="13"/>
      <c r="L113" s="13">
        <v>7</v>
      </c>
      <c r="M113" s="13" t="s">
        <v>51</v>
      </c>
      <c r="N113" s="13" t="s">
        <v>52</v>
      </c>
      <c r="O113" s="13" t="s">
        <v>32</v>
      </c>
      <c r="P113" s="13" t="s">
        <v>33</v>
      </c>
      <c r="Q113" s="13" t="s">
        <v>44</v>
      </c>
      <c r="R113" s="13" t="s">
        <v>34</v>
      </c>
      <c r="S113" s="13" t="s">
        <v>53</v>
      </c>
    </row>
    <row r="114" spans="1:19" ht="57.6" x14ac:dyDescent="0.3">
      <c r="A114" s="13" t="s">
        <v>78</v>
      </c>
      <c r="B114" s="13" t="s">
        <v>77</v>
      </c>
      <c r="C114" s="13" t="s">
        <v>76</v>
      </c>
      <c r="D114" s="13" t="s">
        <v>75</v>
      </c>
      <c r="E114" s="13">
        <v>2025</v>
      </c>
      <c r="F114" s="26" t="s">
        <v>74</v>
      </c>
      <c r="G114" s="13"/>
      <c r="H114" s="13"/>
      <c r="I114" s="13"/>
      <c r="J114" s="13"/>
      <c r="K114" s="13"/>
      <c r="L114" s="13">
        <v>0</v>
      </c>
      <c r="M114" s="13" t="s">
        <v>73</v>
      </c>
      <c r="N114" s="13" t="s">
        <v>72</v>
      </c>
      <c r="O114" s="13" t="s">
        <v>70</v>
      </c>
      <c r="P114" s="13" t="s">
        <v>33</v>
      </c>
      <c r="Q114" s="13"/>
      <c r="R114" s="13" t="s">
        <v>34</v>
      </c>
      <c r="S114" s="13" t="s">
        <v>71</v>
      </c>
    </row>
    <row r="115" spans="1:19" x14ac:dyDescent="0.3">
      <c r="A115" s="13" t="s">
        <v>79</v>
      </c>
      <c r="B115" s="13" t="s">
        <v>80</v>
      </c>
      <c r="C115" s="13" t="s">
        <v>81</v>
      </c>
      <c r="D115" s="13" t="s">
        <v>82</v>
      </c>
      <c r="E115" s="13">
        <v>2024</v>
      </c>
      <c r="F115" s="13" t="s">
        <v>83</v>
      </c>
      <c r="G115" s="13">
        <v>16</v>
      </c>
      <c r="H115" s="13">
        <v>2</v>
      </c>
      <c r="I115" s="13">
        <v>877</v>
      </c>
      <c r="J115" s="13"/>
      <c r="K115" s="13"/>
      <c r="L115" s="13">
        <v>9</v>
      </c>
      <c r="M115" s="13" t="s">
        <v>84</v>
      </c>
      <c r="N115" s="13" t="s">
        <v>85</v>
      </c>
      <c r="O115" s="13" t="s">
        <v>32</v>
      </c>
      <c r="P115" s="13" t="s">
        <v>33</v>
      </c>
      <c r="Q115" s="13" t="s">
        <v>44</v>
      </c>
      <c r="R115" s="13" t="s">
        <v>34</v>
      </c>
      <c r="S115" s="13" t="s">
        <v>86</v>
      </c>
    </row>
    <row r="116" spans="1:19" x14ac:dyDescent="0.3">
      <c r="A116" s="13" t="s">
        <v>622</v>
      </c>
      <c r="B116" s="13" t="s">
        <v>623</v>
      </c>
      <c r="C116" s="13" t="s">
        <v>624</v>
      </c>
      <c r="D116" s="13" t="s">
        <v>625</v>
      </c>
      <c r="E116" s="13">
        <v>2024</v>
      </c>
      <c r="F116" s="13" t="s">
        <v>626</v>
      </c>
      <c r="G116" s="13"/>
      <c r="H116" s="13"/>
      <c r="I116" s="13"/>
      <c r="J116" s="13"/>
      <c r="K116" s="13"/>
      <c r="L116" s="13">
        <v>0</v>
      </c>
      <c r="M116" s="13" t="s">
        <v>627</v>
      </c>
      <c r="N116" s="25" t="s">
        <v>628</v>
      </c>
      <c r="O116" s="13" t="s">
        <v>70</v>
      </c>
      <c r="P116" s="13" t="s">
        <v>33</v>
      </c>
      <c r="Q116" s="13"/>
      <c r="R116" s="13" t="s">
        <v>34</v>
      </c>
      <c r="S116" s="13" t="s">
        <v>629</v>
      </c>
    </row>
  </sheetData>
  <hyperlinks>
    <hyperlink ref="N2" r:id="rId1" xr:uid="{440B46E4-5BD4-44C6-8E72-BB3F06C132E1}"/>
    <hyperlink ref="N3" r:id="rId2" xr:uid="{CCCB9337-AAE4-4EB4-804A-872ADBDA6F65}"/>
    <hyperlink ref="N4" r:id="rId3" xr:uid="{5B4021CD-6A7E-41BA-9290-5E5A0A244F8B}"/>
    <hyperlink ref="N5" r:id="rId4" xr:uid="{0D79F332-471B-4899-B84F-19EF7CA60DD7}"/>
    <hyperlink ref="N6" r:id="rId5" xr:uid="{D9795F75-1464-4A06-8A3A-1336BF700204}"/>
    <hyperlink ref="N7" r:id="rId6" xr:uid="{863A2D93-014D-40EF-8D44-580C0E066D11}"/>
    <hyperlink ref="N8" r:id="rId7" xr:uid="{E30C8F89-39E2-4281-804D-BAFB79A806A4}"/>
    <hyperlink ref="N9" r:id="rId8" xr:uid="{BFCA67CE-AC1B-474C-93A7-E53CC658E72F}"/>
    <hyperlink ref="N10" r:id="rId9" xr:uid="{C042EABD-6320-4B32-B590-37542979644E}"/>
    <hyperlink ref="N11" r:id="rId10" xr:uid="{74C1AC70-0D98-46EA-8958-CA7422DFDF5C}"/>
    <hyperlink ref="N12" r:id="rId11" xr:uid="{2A5DBAA2-5D36-4068-A419-392A63067885}"/>
    <hyperlink ref="N13" r:id="rId12" xr:uid="{F86E6287-4C5D-4651-A22F-7A20F5E36724}"/>
    <hyperlink ref="N14" r:id="rId13" xr:uid="{CB920D68-8ACB-42B6-ABBA-B834A9AC7A74}"/>
    <hyperlink ref="N15" r:id="rId14" xr:uid="{223EF5C5-1133-4746-8826-EEA4E4990129}"/>
    <hyperlink ref="N16" r:id="rId15" xr:uid="{D797CDAE-1849-40A5-A5BC-F46C508CA581}"/>
    <hyperlink ref="N17" r:id="rId16" xr:uid="{DE05FA0B-5259-443C-B045-47A7BF9E03FC}"/>
    <hyperlink ref="N18" r:id="rId17" xr:uid="{9118C6ED-7FB3-4754-BE38-442494F34EB7}"/>
    <hyperlink ref="N19" r:id="rId18" xr:uid="{1CF9019D-56B2-4209-A8E8-B41848EDB2E1}"/>
    <hyperlink ref="N20" r:id="rId19" xr:uid="{82B72222-DFB2-480D-9FCE-3CBFFAB695F5}"/>
    <hyperlink ref="N21" r:id="rId20" xr:uid="{892ACE37-9007-4595-8C7B-94DC9327315A}"/>
    <hyperlink ref="N22" r:id="rId21" xr:uid="{B4073E98-4BAB-4BE5-8DB8-DD8441B0CBCB}"/>
    <hyperlink ref="N23" r:id="rId22" xr:uid="{404790BF-5EA7-4790-BDE2-318236E20382}"/>
    <hyperlink ref="N24" r:id="rId23" xr:uid="{FBC83B6E-FA2D-4A2A-9206-8E0DC7ECD1FB}"/>
    <hyperlink ref="N25" r:id="rId24" xr:uid="{B447CE95-49B4-4132-B2A8-8E396AD55F93}"/>
    <hyperlink ref="N26" r:id="rId25" xr:uid="{F4E086F6-CE71-428F-9F21-5C1986433327}"/>
    <hyperlink ref="N27" r:id="rId26" xr:uid="{2B90A9AE-ACF9-4F06-A138-A8837D826990}"/>
    <hyperlink ref="N28" r:id="rId27" xr:uid="{1BAE44C5-D48E-46FE-A333-080C23E63553}"/>
    <hyperlink ref="N29" r:id="rId28" xr:uid="{3B662C8D-31CD-49FA-8DD8-9CF61998B63C}"/>
    <hyperlink ref="N30" r:id="rId29" xr:uid="{019D198C-DF6D-4511-84D9-69CBE8807FA1}"/>
    <hyperlink ref="N31" r:id="rId30" xr:uid="{63B74FDE-6998-47D2-822F-CC19B1B71AA5}"/>
    <hyperlink ref="N32" r:id="rId31" xr:uid="{2153E26C-351C-40BD-AECE-ACD8B8BFBB4D}"/>
    <hyperlink ref="N33" r:id="rId32" xr:uid="{E2733753-FF7E-4C96-982C-5DF65C59B207}"/>
    <hyperlink ref="N34" r:id="rId33" xr:uid="{E0BE2F8D-B25E-4E2D-AB6C-FF385AE13A54}"/>
    <hyperlink ref="N35" r:id="rId34" xr:uid="{6021A3A5-3EE6-4ADC-BC09-0257DF949DDC}"/>
    <hyperlink ref="N36" r:id="rId35" xr:uid="{B0F9C732-18E0-4365-90CB-4F2C602E5869}"/>
    <hyperlink ref="N37" r:id="rId36" xr:uid="{FB64CB2B-D5C2-4B9C-8205-C93AA323C014}"/>
    <hyperlink ref="N38" r:id="rId37" xr:uid="{9935FA62-B4A3-4C66-A192-4CC26CC95B36}"/>
    <hyperlink ref="N39" r:id="rId38" xr:uid="{F093CA46-FF96-4ED4-A536-D836E781ECE0}"/>
    <hyperlink ref="N40" r:id="rId39" xr:uid="{4341712D-580C-40B4-8AE1-0A6153164914}"/>
    <hyperlink ref="N41" r:id="rId40" xr:uid="{6D31E1A9-94A4-494B-9158-04ACEE2F485E}"/>
    <hyperlink ref="N42" r:id="rId41" xr:uid="{3F475F47-1E9D-472F-AEC2-1342638FA129}"/>
    <hyperlink ref="N43" r:id="rId42" xr:uid="{946DFCD9-A6DC-445F-9C06-993E6AEC9A07}"/>
    <hyperlink ref="N44" r:id="rId43" xr:uid="{FCF25BC4-4594-43C9-83AA-4280A0B49BD4}"/>
    <hyperlink ref="N45" r:id="rId44" xr:uid="{6D811CE4-C7D8-48AA-8538-7EB55EAC958A}"/>
    <hyperlink ref="N46" r:id="rId45" xr:uid="{77767987-3C1A-4373-AFA8-CB9F3B7F9803}"/>
    <hyperlink ref="N47" r:id="rId46" xr:uid="{CCFB342E-60FA-4941-8E65-ED79105AE906}"/>
    <hyperlink ref="N48" r:id="rId47" xr:uid="{499B8B5A-1238-442B-B319-B6281B4A0DA8}"/>
    <hyperlink ref="N49" r:id="rId48" xr:uid="{FE0AD583-3359-4742-96BF-6D258769ACEB}"/>
    <hyperlink ref="N50" r:id="rId49" xr:uid="{F8B3867C-5304-416C-B31E-C3B076C06DEF}"/>
    <hyperlink ref="N51" r:id="rId50" xr:uid="{AA40AC6B-D89A-4B11-A31D-27F0BE190DA0}"/>
    <hyperlink ref="N52" r:id="rId51" xr:uid="{B75150A9-D80F-48CB-AB02-DE29C45E3830}"/>
    <hyperlink ref="N53" r:id="rId52" xr:uid="{CFB8E729-7046-46D9-B01A-B8D860FDDDDB}"/>
    <hyperlink ref="N54" r:id="rId53" xr:uid="{4CEA6655-55C1-44DA-A31B-6096F619D391}"/>
    <hyperlink ref="N55" r:id="rId54" xr:uid="{F423216C-80F6-4D79-B079-7ECC2D5CC7A2}"/>
    <hyperlink ref="N56" r:id="rId55" xr:uid="{0C65F0F3-0EB3-4F2F-BD4A-D9511BC8E854}"/>
    <hyperlink ref="N57" r:id="rId56" xr:uid="{1645EA1E-49C3-44F7-A151-2DC435F4D4D9}"/>
    <hyperlink ref="N58" r:id="rId57" xr:uid="{AECD65C9-44D8-4E4A-9B69-8289187741F4}"/>
    <hyperlink ref="N59" r:id="rId58" xr:uid="{616CCD53-00FC-4ACC-BEAD-1054634ABB4A}"/>
    <hyperlink ref="N60" r:id="rId59" xr:uid="{49ECA9F4-8FE9-403A-BC14-39D31C67C461}"/>
    <hyperlink ref="N61" r:id="rId60" xr:uid="{5EC7AD1B-976B-42EE-8F99-D3B94FFFC359}"/>
    <hyperlink ref="N62" r:id="rId61" xr:uid="{5C5CFBEE-C57B-48FA-86C1-5070EB81C011}"/>
    <hyperlink ref="N63" r:id="rId62" xr:uid="{5B090C32-CD3B-4DCA-A27C-69E8B85BEE2E}"/>
    <hyperlink ref="N64" r:id="rId63" xr:uid="{9F15E22D-FFDD-4573-8701-F2E956440CF0}"/>
    <hyperlink ref="N65" r:id="rId64" xr:uid="{9775D64E-C953-4440-88AF-DA5577DA85DE}"/>
    <hyperlink ref="N66" r:id="rId65" xr:uid="{AF4FACE4-A2DB-42EC-A3C5-31845D7E2141}"/>
    <hyperlink ref="N67" r:id="rId66" xr:uid="{1433731F-9201-4925-86A1-7BE9BA73918D}"/>
    <hyperlink ref="N68" r:id="rId67" xr:uid="{BD193A29-F7BD-41DC-A23A-FF8367B7AC19}"/>
    <hyperlink ref="N69" r:id="rId68" xr:uid="{4370B35B-B6FB-42C5-976D-45FB4AC05E0B}"/>
    <hyperlink ref="N70" r:id="rId69" xr:uid="{DA41AED3-84C1-4ECD-B902-E1BD840885AF}"/>
    <hyperlink ref="N71" r:id="rId70" xr:uid="{99095612-77B4-4250-9097-3BFE43A31C7C}"/>
    <hyperlink ref="N72" r:id="rId71" xr:uid="{D89F7CF6-B73F-4B04-AC3C-F044DE75930A}"/>
    <hyperlink ref="N73" r:id="rId72" xr:uid="{10E18113-1763-49E5-AB84-1DC13830703F}"/>
    <hyperlink ref="N74" r:id="rId73" xr:uid="{F2537FBA-1B92-4096-BD76-72BB09B9864C}"/>
    <hyperlink ref="N75" r:id="rId74" xr:uid="{494A2CF6-EB24-4A09-B576-F7DE744135DD}"/>
    <hyperlink ref="N76" r:id="rId75" xr:uid="{D7D926D5-031E-4F42-91F9-95055B42B70E}"/>
    <hyperlink ref="N77" r:id="rId76" xr:uid="{F6846037-F5F0-4D47-816B-F0750CDCCB09}"/>
    <hyperlink ref="N78" r:id="rId77" xr:uid="{1BED8B74-EB1E-4F1F-BEB8-6E9C52D016ED}"/>
    <hyperlink ref="N79" r:id="rId78" xr:uid="{DF3A0571-DB8F-4836-B3F4-D03F5D06B3CF}"/>
    <hyperlink ref="N80" r:id="rId79" xr:uid="{1DB982A9-4153-4598-AF6B-D933CE79E100}"/>
    <hyperlink ref="N81" r:id="rId80" xr:uid="{BD30E96B-A6A6-459E-B7C7-AA393402E82D}"/>
    <hyperlink ref="N82" r:id="rId81" xr:uid="{1D2902C4-51CB-4409-BF98-27B534ACFC0D}"/>
    <hyperlink ref="N83" r:id="rId82" xr:uid="{EA35C110-C585-4B14-953C-68EE39A6545D}"/>
    <hyperlink ref="N84" r:id="rId83" xr:uid="{2C3DB2F2-BDA2-4B1E-B22E-6344A158D836}"/>
    <hyperlink ref="N85" r:id="rId84" xr:uid="{40FC5E0F-4F9D-443F-B509-0BE97266C27D}"/>
    <hyperlink ref="N86" r:id="rId85" xr:uid="{89B0696A-C337-450F-BF88-60A312AF56E6}"/>
    <hyperlink ref="N87" r:id="rId86" xr:uid="{04BA6A40-0E5C-4012-9DC4-4BBD410FF5DD}"/>
    <hyperlink ref="N88" r:id="rId87" xr:uid="{8FB695F1-7F61-40D7-9D36-67B567D115B6}"/>
    <hyperlink ref="N89" r:id="rId88" xr:uid="{03419BED-90FF-489B-AEC4-63950B79B82F}"/>
    <hyperlink ref="N90" r:id="rId89" xr:uid="{364D0AD5-8E59-4443-9011-6E839734FF68}"/>
    <hyperlink ref="N91" r:id="rId90" xr:uid="{E3D28AB8-2270-4DF7-9743-1A5D06AA1A48}"/>
    <hyperlink ref="N92" r:id="rId91" xr:uid="{67CBD0B1-3E1B-450C-B88D-089C0C7733AE}"/>
    <hyperlink ref="N93" r:id="rId92" xr:uid="{94A8BC11-1CE8-46D0-910F-4DC5801559C9}"/>
    <hyperlink ref="N94" r:id="rId93" xr:uid="{B4B28EB7-9240-4B00-A3A4-9C23265DA607}"/>
    <hyperlink ref="N95" r:id="rId94" xr:uid="{0F3B45D6-13C6-4BB1-94B8-676EF88A8633}"/>
    <hyperlink ref="N96" r:id="rId95" xr:uid="{80599480-A0EA-4EBC-85C5-8A978C4EC449}"/>
    <hyperlink ref="N97" r:id="rId96" xr:uid="{E8592D25-9614-4856-81FD-D1CF3A7D7CA9}"/>
    <hyperlink ref="N98" r:id="rId97" xr:uid="{2076339F-D0BA-400A-938E-B7D17AEBA0A1}"/>
    <hyperlink ref="N99" r:id="rId98" xr:uid="{E4823EAD-F4AC-43ED-941D-C359A79DAB06}"/>
    <hyperlink ref="N100" r:id="rId99" xr:uid="{4F98CD35-D298-4A6C-8CF5-948C1F64F764}"/>
    <hyperlink ref="N101" r:id="rId100" xr:uid="{0B3649C6-813E-4684-9731-6F5A7E121B28}"/>
    <hyperlink ref="N102" r:id="rId101" xr:uid="{DC265B82-4324-45D1-8DD2-9FDC43B53818}"/>
    <hyperlink ref="N103" r:id="rId102" xr:uid="{3E65FEF1-430C-45A7-BD57-FE621881A5C9}"/>
    <hyperlink ref="N104" r:id="rId103" xr:uid="{B83B8712-3954-49AB-A92C-8A7025FA78F8}"/>
    <hyperlink ref="N105" r:id="rId104" xr:uid="{49CEFDC5-0D28-4FAD-B6AD-9DE4FC2287E1}"/>
    <hyperlink ref="N106" r:id="rId105" xr:uid="{AC532714-7326-4411-9716-5B5A5200DEF2}"/>
    <hyperlink ref="N107" r:id="rId106" xr:uid="{72CA8D02-0467-4F07-ADAF-67126A41930F}"/>
    <hyperlink ref="N108" r:id="rId107" xr:uid="{62B60692-2587-4D7C-A393-B6C481EAA94B}"/>
    <hyperlink ref="N116" r:id="rId108" xr:uid="{CBCC85AD-79B2-433B-A8EA-73E8783FB3F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9D07E-337C-430F-9F40-BDAF556446CB}">
  <sheetPr>
    <tabColor theme="3"/>
  </sheetPr>
  <dimension ref="A1:S180"/>
  <sheetViews>
    <sheetView workbookViewId="0">
      <pane ySplit="1" topLeftCell="A152" activePane="bottomLeft" state="frozen"/>
      <selection pane="bottomLeft" activeCell="P21" sqref="P21"/>
    </sheetView>
  </sheetViews>
  <sheetFormatPr defaultRowHeight="14.4" x14ac:dyDescent="0.3"/>
  <cols>
    <col min="1" max="1" width="15.33203125" customWidth="1"/>
    <col min="2" max="2" width="17.88671875" customWidth="1"/>
    <col min="3" max="3" width="12.109375" customWidth="1"/>
    <col min="4" max="4" width="15.5546875" customWidth="1"/>
    <col min="5" max="5" width="6.5546875" customWidth="1"/>
    <col min="6" max="6" width="42.21875" customWidth="1"/>
    <col min="7" max="7" width="8.33203125" customWidth="1"/>
    <col min="8" max="8" width="10.21875" customWidth="1"/>
    <col min="16" max="16" width="15.6640625" customWidth="1"/>
    <col min="19" max="19" width="18.88671875" customWidth="1"/>
    <col min="20" max="20" width="15.33203125" customWidth="1"/>
  </cols>
  <sheetData>
    <row r="1" spans="1:19" s="11" customFormat="1" ht="22.2" customHeight="1" x14ac:dyDescent="0.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row>
    <row r="2" spans="1:19" s="1" customFormat="1" x14ac:dyDescent="0.3">
      <c r="A2" s="12" t="s">
        <v>69</v>
      </c>
      <c r="B2" s="12" t="s">
        <v>68</v>
      </c>
      <c r="C2" s="12" t="s">
        <v>67</v>
      </c>
      <c r="D2" s="12" t="s">
        <v>66</v>
      </c>
      <c r="E2" s="12">
        <v>2025</v>
      </c>
      <c r="F2" s="12" t="s">
        <v>65</v>
      </c>
      <c r="G2" s="12">
        <v>16</v>
      </c>
      <c r="H2" s="12">
        <v>5</v>
      </c>
      <c r="I2" s="12"/>
      <c r="J2" s="12">
        <v>173</v>
      </c>
      <c r="K2" s="12">
        <v>181</v>
      </c>
      <c r="L2" s="12">
        <v>0</v>
      </c>
      <c r="M2" s="12" t="s">
        <v>64</v>
      </c>
      <c r="N2" s="12" t="s">
        <v>179</v>
      </c>
      <c r="O2" s="12" t="s">
        <v>32</v>
      </c>
      <c r="P2" s="12" t="s">
        <v>33</v>
      </c>
      <c r="Q2" s="12" t="s">
        <v>61</v>
      </c>
      <c r="R2" s="12" t="s">
        <v>34</v>
      </c>
      <c r="S2" s="12" t="s">
        <v>62</v>
      </c>
    </row>
    <row r="3" spans="1:19" s="1" customFormat="1" x14ac:dyDescent="0.3">
      <c r="A3" s="13" t="s">
        <v>178</v>
      </c>
      <c r="B3" s="13" t="s">
        <v>177</v>
      </c>
      <c r="C3" s="13" t="s">
        <v>176</v>
      </c>
      <c r="D3" s="13" t="s">
        <v>175</v>
      </c>
      <c r="E3" s="13">
        <v>2025</v>
      </c>
      <c r="F3" s="13" t="s">
        <v>124</v>
      </c>
      <c r="G3" s="13">
        <v>25</v>
      </c>
      <c r="H3" s="13">
        <v>13</v>
      </c>
      <c r="I3" s="13">
        <v>3992</v>
      </c>
      <c r="J3" s="13"/>
      <c r="K3" s="13"/>
      <c r="L3" s="13">
        <v>7</v>
      </c>
      <c r="M3" s="13" t="s">
        <v>174</v>
      </c>
      <c r="N3" s="13" t="s">
        <v>173</v>
      </c>
      <c r="O3" s="13" t="s">
        <v>32</v>
      </c>
      <c r="P3" s="13" t="s">
        <v>33</v>
      </c>
      <c r="Q3" s="13" t="s">
        <v>44</v>
      </c>
      <c r="R3" s="13" t="s">
        <v>34</v>
      </c>
      <c r="S3" s="13" t="s">
        <v>172</v>
      </c>
    </row>
    <row r="4" spans="1:19" s="1" customFormat="1" x14ac:dyDescent="0.3">
      <c r="A4" s="13" t="s">
        <v>54</v>
      </c>
      <c r="B4" s="13" t="s">
        <v>55</v>
      </c>
      <c r="C4" s="13" t="s">
        <v>56</v>
      </c>
      <c r="D4" s="13" t="s">
        <v>57</v>
      </c>
      <c r="E4" s="13">
        <v>2026</v>
      </c>
      <c r="F4" s="13" t="s">
        <v>40</v>
      </c>
      <c r="G4" s="13">
        <v>16</v>
      </c>
      <c r="H4" s="13">
        <v>3</v>
      </c>
      <c r="I4" s="13">
        <v>1559</v>
      </c>
      <c r="J4" s="13"/>
      <c r="K4" s="13"/>
      <c r="L4" s="13">
        <v>0</v>
      </c>
      <c r="M4" s="13" t="s">
        <v>58</v>
      </c>
      <c r="N4" s="13" t="s">
        <v>171</v>
      </c>
      <c r="O4" s="13" t="s">
        <v>32</v>
      </c>
      <c r="P4" s="13" t="s">
        <v>33</v>
      </c>
      <c r="Q4" s="13" t="s">
        <v>44</v>
      </c>
      <c r="R4" s="13" t="s">
        <v>34</v>
      </c>
      <c r="S4" s="13" t="s">
        <v>60</v>
      </c>
    </row>
    <row r="5" spans="1:19" s="1" customFormat="1" x14ac:dyDescent="0.3">
      <c r="A5" s="13" t="s">
        <v>170</v>
      </c>
      <c r="B5" s="13" t="s">
        <v>169</v>
      </c>
      <c r="C5" s="13">
        <v>57192894122</v>
      </c>
      <c r="D5" s="13" t="s">
        <v>168</v>
      </c>
      <c r="E5" s="13">
        <v>2026</v>
      </c>
      <c r="F5" s="13" t="s">
        <v>167</v>
      </c>
      <c r="G5" s="13">
        <v>10</v>
      </c>
      <c r="H5" s="13"/>
      <c r="I5" s="13">
        <v>12</v>
      </c>
      <c r="J5" s="13"/>
      <c r="K5" s="13"/>
      <c r="L5" s="13">
        <v>0</v>
      </c>
      <c r="M5" s="13" t="s">
        <v>166</v>
      </c>
      <c r="N5" s="13" t="s">
        <v>165</v>
      </c>
      <c r="O5" s="13" t="s">
        <v>32</v>
      </c>
      <c r="P5" s="13" t="s">
        <v>33</v>
      </c>
      <c r="Q5" s="13" t="s">
        <v>44</v>
      </c>
      <c r="R5" s="13" t="s">
        <v>34</v>
      </c>
      <c r="S5" s="13" t="s">
        <v>164</v>
      </c>
    </row>
    <row r="6" spans="1:19" s="1" customFormat="1" x14ac:dyDescent="0.3">
      <c r="A6" s="13" t="s">
        <v>163</v>
      </c>
      <c r="B6" s="13" t="s">
        <v>162</v>
      </c>
      <c r="C6" s="13" t="s">
        <v>161</v>
      </c>
      <c r="D6" s="13" t="s">
        <v>160</v>
      </c>
      <c r="E6" s="13">
        <v>2026</v>
      </c>
      <c r="F6" s="13" t="s">
        <v>159</v>
      </c>
      <c r="G6" s="13">
        <v>18</v>
      </c>
      <c r="H6" s="13">
        <v>4</v>
      </c>
      <c r="I6" s="13"/>
      <c r="J6" s="13" t="s">
        <v>158</v>
      </c>
      <c r="K6" s="13" t="s">
        <v>157</v>
      </c>
      <c r="L6" s="13">
        <v>0</v>
      </c>
      <c r="M6" s="13" t="s">
        <v>156</v>
      </c>
      <c r="N6" s="13" t="s">
        <v>155</v>
      </c>
      <c r="O6" s="13" t="s">
        <v>32</v>
      </c>
      <c r="P6" s="13" t="s">
        <v>33</v>
      </c>
      <c r="Q6" s="13"/>
      <c r="R6" s="13" t="s">
        <v>34</v>
      </c>
      <c r="S6" s="13" t="s">
        <v>154</v>
      </c>
    </row>
    <row r="7" spans="1:19" s="1" customFormat="1" x14ac:dyDescent="0.3">
      <c r="A7" s="13" t="s">
        <v>153</v>
      </c>
      <c r="B7" s="13" t="s">
        <v>152</v>
      </c>
      <c r="C7" s="13" t="s">
        <v>151</v>
      </c>
      <c r="D7" s="13" t="s">
        <v>150</v>
      </c>
      <c r="E7" s="13">
        <v>2025</v>
      </c>
      <c r="F7" s="13" t="s">
        <v>149</v>
      </c>
      <c r="G7" s="13"/>
      <c r="H7" s="13"/>
      <c r="I7" s="13"/>
      <c r="J7" s="13">
        <v>391</v>
      </c>
      <c r="K7" s="13">
        <v>396</v>
      </c>
      <c r="L7" s="13">
        <v>0</v>
      </c>
      <c r="M7" s="13" t="s">
        <v>148</v>
      </c>
      <c r="N7" s="13" t="s">
        <v>147</v>
      </c>
      <c r="O7" s="13" t="s">
        <v>70</v>
      </c>
      <c r="P7" s="13" t="s">
        <v>33</v>
      </c>
      <c r="Q7" s="13"/>
      <c r="R7" s="13" t="s">
        <v>34</v>
      </c>
      <c r="S7" s="13" t="s">
        <v>146</v>
      </c>
    </row>
    <row r="8" spans="1:19" s="1" customFormat="1" x14ac:dyDescent="0.3">
      <c r="A8" s="13" t="s">
        <v>145</v>
      </c>
      <c r="B8" s="13" t="s">
        <v>144</v>
      </c>
      <c r="C8" s="13" t="s">
        <v>143</v>
      </c>
      <c r="D8" s="13" t="s">
        <v>142</v>
      </c>
      <c r="E8" s="13">
        <v>2026</v>
      </c>
      <c r="F8" s="13" t="s">
        <v>141</v>
      </c>
      <c r="G8" s="13"/>
      <c r="H8" s="13"/>
      <c r="I8" s="13"/>
      <c r="J8" s="13">
        <v>22</v>
      </c>
      <c r="K8" s="13">
        <v>29</v>
      </c>
      <c r="L8" s="13">
        <v>0</v>
      </c>
      <c r="M8" s="13" t="s">
        <v>140</v>
      </c>
      <c r="N8" s="13" t="s">
        <v>139</v>
      </c>
      <c r="O8" s="13" t="s">
        <v>70</v>
      </c>
      <c r="P8" s="13" t="s">
        <v>33</v>
      </c>
      <c r="Q8" s="13"/>
      <c r="R8" s="13" t="s">
        <v>34</v>
      </c>
      <c r="S8" s="13" t="s">
        <v>138</v>
      </c>
    </row>
    <row r="9" spans="1:19" s="1" customFormat="1" x14ac:dyDescent="0.3">
      <c r="A9" s="13" t="s">
        <v>137</v>
      </c>
      <c r="B9" s="13" t="s">
        <v>136</v>
      </c>
      <c r="C9" s="13" t="s">
        <v>135</v>
      </c>
      <c r="D9" s="13" t="s">
        <v>134</v>
      </c>
      <c r="E9" s="13">
        <v>2025</v>
      </c>
      <c r="F9" s="13" t="s">
        <v>133</v>
      </c>
      <c r="G9" s="13">
        <v>13</v>
      </c>
      <c r="H9" s="13">
        <v>11</v>
      </c>
      <c r="I9" s="13">
        <v>514</v>
      </c>
      <c r="J9" s="13"/>
      <c r="K9" s="13"/>
      <c r="L9" s="13">
        <v>0</v>
      </c>
      <c r="M9" s="13" t="s">
        <v>132</v>
      </c>
      <c r="N9" s="13" t="s">
        <v>131</v>
      </c>
      <c r="O9" s="13" t="s">
        <v>32</v>
      </c>
      <c r="P9" s="13" t="s">
        <v>33</v>
      </c>
      <c r="Q9" s="13" t="s">
        <v>44</v>
      </c>
      <c r="R9" s="13" t="s">
        <v>34</v>
      </c>
      <c r="S9" s="13" t="s">
        <v>130</v>
      </c>
    </row>
    <row r="10" spans="1:19" s="1" customFormat="1" x14ac:dyDescent="0.3">
      <c r="A10" s="13" t="s">
        <v>46</v>
      </c>
      <c r="B10" s="13" t="s">
        <v>47</v>
      </c>
      <c r="C10" s="13" t="s">
        <v>48</v>
      </c>
      <c r="D10" s="13" t="s">
        <v>49</v>
      </c>
      <c r="E10" s="13">
        <v>2025</v>
      </c>
      <c r="F10" s="13" t="s">
        <v>50</v>
      </c>
      <c r="G10" s="13">
        <v>12</v>
      </c>
      <c r="H10" s="13">
        <v>1</v>
      </c>
      <c r="I10" s="13">
        <v>793</v>
      </c>
      <c r="J10" s="13"/>
      <c r="K10" s="13"/>
      <c r="L10" s="13">
        <v>9</v>
      </c>
      <c r="M10" s="13" t="s">
        <v>51</v>
      </c>
      <c r="N10" s="13" t="s">
        <v>129</v>
      </c>
      <c r="O10" s="13" t="s">
        <v>32</v>
      </c>
      <c r="P10" s="13" t="s">
        <v>33</v>
      </c>
      <c r="Q10" s="13" t="s">
        <v>44</v>
      </c>
      <c r="R10" s="13" t="s">
        <v>34</v>
      </c>
      <c r="S10" s="13" t="s">
        <v>53</v>
      </c>
    </row>
    <row r="11" spans="1:19" s="1" customFormat="1" x14ac:dyDescent="0.3">
      <c r="A11" s="13" t="s">
        <v>128</v>
      </c>
      <c r="B11" s="13" t="s">
        <v>127</v>
      </c>
      <c r="C11" s="13" t="s">
        <v>126</v>
      </c>
      <c r="D11" s="13" t="s">
        <v>125</v>
      </c>
      <c r="E11" s="13">
        <v>2025</v>
      </c>
      <c r="F11" s="13" t="s">
        <v>124</v>
      </c>
      <c r="G11" s="13">
        <v>25</v>
      </c>
      <c r="H11" s="13">
        <v>13</v>
      </c>
      <c r="I11" s="13">
        <v>4180</v>
      </c>
      <c r="J11" s="13"/>
      <c r="K11" s="13"/>
      <c r="L11" s="13">
        <v>0</v>
      </c>
      <c r="M11" s="13" t="s">
        <v>123</v>
      </c>
      <c r="N11" s="13" t="s">
        <v>122</v>
      </c>
      <c r="O11" s="13" t="s">
        <v>32</v>
      </c>
      <c r="P11" s="13" t="s">
        <v>33</v>
      </c>
      <c r="Q11" s="13" t="s">
        <v>44</v>
      </c>
      <c r="R11" s="13" t="s">
        <v>34</v>
      </c>
      <c r="S11" s="13" t="s">
        <v>121</v>
      </c>
    </row>
    <row r="12" spans="1:19" x14ac:dyDescent="0.3">
      <c r="A12" s="8" t="s">
        <v>180</v>
      </c>
      <c r="B12" s="8" t="s">
        <v>181</v>
      </c>
      <c r="C12" s="8" t="s">
        <v>182</v>
      </c>
      <c r="D12" s="8" t="s">
        <v>183</v>
      </c>
      <c r="E12" s="8">
        <v>2021</v>
      </c>
      <c r="F12" s="8" t="s">
        <v>184</v>
      </c>
      <c r="G12" s="8"/>
      <c r="H12" s="8"/>
      <c r="I12" s="8">
        <v>9489709</v>
      </c>
      <c r="J12" s="8"/>
      <c r="K12" s="8"/>
      <c r="L12" s="8">
        <v>5</v>
      </c>
      <c r="M12" s="8"/>
      <c r="N12" s="8" t="s">
        <v>185</v>
      </c>
      <c r="O12" s="8" t="s">
        <v>70</v>
      </c>
      <c r="P12" s="8" t="s">
        <v>33</v>
      </c>
      <c r="Q12" s="8"/>
      <c r="R12" s="8" t="s">
        <v>34</v>
      </c>
      <c r="S12" s="8" t="s">
        <v>186</v>
      </c>
    </row>
    <row r="13" spans="1:19" x14ac:dyDescent="0.3">
      <c r="A13" s="8" t="s">
        <v>187</v>
      </c>
      <c r="B13" s="8" t="s">
        <v>188</v>
      </c>
      <c r="C13" s="8" t="s">
        <v>189</v>
      </c>
      <c r="D13" s="8" t="s">
        <v>190</v>
      </c>
      <c r="E13" s="8">
        <v>2025</v>
      </c>
      <c r="F13" s="8" t="s">
        <v>124</v>
      </c>
      <c r="G13" s="8">
        <v>25</v>
      </c>
      <c r="H13" s="8">
        <v>15</v>
      </c>
      <c r="I13" s="8">
        <v>4744</v>
      </c>
      <c r="J13" s="8"/>
      <c r="K13" s="8"/>
      <c r="L13" s="8">
        <v>2</v>
      </c>
      <c r="M13" s="8" t="s">
        <v>191</v>
      </c>
      <c r="N13" s="8" t="s">
        <v>192</v>
      </c>
      <c r="O13" s="8" t="s">
        <v>32</v>
      </c>
      <c r="P13" s="8" t="s">
        <v>33</v>
      </c>
      <c r="Q13" s="8" t="s">
        <v>44</v>
      </c>
      <c r="R13" s="8" t="s">
        <v>34</v>
      </c>
      <c r="S13" s="8" t="s">
        <v>193</v>
      </c>
    </row>
    <row r="14" spans="1:19" x14ac:dyDescent="0.3">
      <c r="A14" s="8" t="s">
        <v>194</v>
      </c>
      <c r="B14" s="8" t="s">
        <v>195</v>
      </c>
      <c r="C14" s="8" t="s">
        <v>196</v>
      </c>
      <c r="D14" s="8" t="s">
        <v>197</v>
      </c>
      <c r="E14" s="8">
        <v>2022</v>
      </c>
      <c r="F14" s="8" t="s">
        <v>198</v>
      </c>
      <c r="G14" s="8">
        <v>22</v>
      </c>
      <c r="H14" s="8">
        <v>3</v>
      </c>
      <c r="I14" s="8"/>
      <c r="J14" s="8">
        <v>610</v>
      </c>
      <c r="K14" s="8">
        <v>622</v>
      </c>
      <c r="L14" s="8">
        <v>2</v>
      </c>
      <c r="M14" s="8" t="s">
        <v>199</v>
      </c>
      <c r="N14" s="8" t="s">
        <v>200</v>
      </c>
      <c r="O14" s="8" t="s">
        <v>32</v>
      </c>
      <c r="P14" s="8" t="s">
        <v>33</v>
      </c>
      <c r="Q14" s="8" t="s">
        <v>44</v>
      </c>
      <c r="R14" s="8" t="s">
        <v>34</v>
      </c>
      <c r="S14" s="8" t="s">
        <v>201</v>
      </c>
    </row>
    <row r="15" spans="1:19" x14ac:dyDescent="0.3">
      <c r="A15" s="8" t="s">
        <v>202</v>
      </c>
      <c r="B15" s="8" t="s">
        <v>203</v>
      </c>
      <c r="C15" s="8" t="s">
        <v>204</v>
      </c>
      <c r="D15" s="8" t="s">
        <v>205</v>
      </c>
      <c r="E15" s="8">
        <v>2024</v>
      </c>
      <c r="F15" s="8" t="s">
        <v>206</v>
      </c>
      <c r="G15" s="8"/>
      <c r="H15" s="8"/>
      <c r="I15" s="8"/>
      <c r="J15" s="8"/>
      <c r="K15" s="8"/>
      <c r="L15" s="8">
        <v>0</v>
      </c>
      <c r="M15" s="8" t="s">
        <v>207</v>
      </c>
      <c r="N15" s="8" t="s">
        <v>208</v>
      </c>
      <c r="O15" s="8" t="s">
        <v>70</v>
      </c>
      <c r="P15" s="8" t="s">
        <v>33</v>
      </c>
      <c r="Q15" s="8"/>
      <c r="R15" s="8" t="s">
        <v>34</v>
      </c>
      <c r="S15" s="8" t="s">
        <v>209</v>
      </c>
    </row>
    <row r="16" spans="1:19" x14ac:dyDescent="0.3">
      <c r="A16" s="8" t="s">
        <v>210</v>
      </c>
      <c r="B16" s="8" t="s">
        <v>211</v>
      </c>
      <c r="C16" s="8" t="s">
        <v>212</v>
      </c>
      <c r="D16" s="8" t="s">
        <v>213</v>
      </c>
      <c r="E16" s="8">
        <v>2022</v>
      </c>
      <c r="F16" s="8" t="s">
        <v>124</v>
      </c>
      <c r="G16" s="8">
        <v>22</v>
      </c>
      <c r="H16" s="8">
        <v>17</v>
      </c>
      <c r="I16" s="8">
        <v>6491</v>
      </c>
      <c r="J16" s="8"/>
      <c r="K16" s="8"/>
      <c r="L16" s="8">
        <v>28</v>
      </c>
      <c r="M16" s="8" t="s">
        <v>214</v>
      </c>
      <c r="N16" s="8" t="s">
        <v>215</v>
      </c>
      <c r="O16" s="8" t="s">
        <v>32</v>
      </c>
      <c r="P16" s="8" t="s">
        <v>33</v>
      </c>
      <c r="Q16" s="8" t="s">
        <v>44</v>
      </c>
      <c r="R16" s="8" t="s">
        <v>34</v>
      </c>
      <c r="S16" s="8" t="s">
        <v>216</v>
      </c>
    </row>
    <row r="17" spans="1:19" x14ac:dyDescent="0.3">
      <c r="A17" s="8" t="s">
        <v>217</v>
      </c>
      <c r="B17" s="8" t="s">
        <v>218</v>
      </c>
      <c r="C17" s="8" t="s">
        <v>219</v>
      </c>
      <c r="D17" s="8" t="s">
        <v>220</v>
      </c>
      <c r="E17" s="8">
        <v>2021</v>
      </c>
      <c r="F17" s="8" t="s">
        <v>40</v>
      </c>
      <c r="G17" s="8">
        <v>11</v>
      </c>
      <c r="H17" s="8">
        <v>11</v>
      </c>
      <c r="I17" s="8">
        <v>4874</v>
      </c>
      <c r="J17" s="8"/>
      <c r="K17" s="8"/>
      <c r="L17" s="8">
        <v>17</v>
      </c>
      <c r="M17" s="8" t="s">
        <v>221</v>
      </c>
      <c r="N17" s="8" t="s">
        <v>222</v>
      </c>
      <c r="O17" s="8" t="s">
        <v>32</v>
      </c>
      <c r="P17" s="8" t="s">
        <v>33</v>
      </c>
      <c r="Q17" s="8" t="s">
        <v>44</v>
      </c>
      <c r="R17" s="8" t="s">
        <v>34</v>
      </c>
      <c r="S17" s="8" t="s">
        <v>223</v>
      </c>
    </row>
    <row r="18" spans="1:19" x14ac:dyDescent="0.3">
      <c r="A18" s="8" t="s">
        <v>224</v>
      </c>
      <c r="B18" s="8" t="s">
        <v>225</v>
      </c>
      <c r="C18" s="8" t="s">
        <v>226</v>
      </c>
      <c r="D18" s="8" t="s">
        <v>227</v>
      </c>
      <c r="E18" s="8">
        <v>2023</v>
      </c>
      <c r="F18" s="8" t="s">
        <v>228</v>
      </c>
      <c r="G18" s="8" t="s">
        <v>229</v>
      </c>
      <c r="H18" s="8"/>
      <c r="I18" s="8"/>
      <c r="J18" s="8">
        <v>2382</v>
      </c>
      <c r="K18" s="8">
        <v>2385</v>
      </c>
      <c r="L18" s="8">
        <v>1</v>
      </c>
      <c r="M18" s="8" t="s">
        <v>230</v>
      </c>
      <c r="N18" s="8" t="s">
        <v>231</v>
      </c>
      <c r="O18" s="8" t="s">
        <v>70</v>
      </c>
      <c r="P18" s="8" t="s">
        <v>33</v>
      </c>
      <c r="Q18" s="8"/>
      <c r="R18" s="8" t="s">
        <v>34</v>
      </c>
      <c r="S18" s="8" t="s">
        <v>232</v>
      </c>
    </row>
    <row r="19" spans="1:19" x14ac:dyDescent="0.3">
      <c r="A19" s="8" t="s">
        <v>79</v>
      </c>
      <c r="B19" s="8" t="s">
        <v>80</v>
      </c>
      <c r="C19" s="8" t="s">
        <v>81</v>
      </c>
      <c r="D19" s="8" t="s">
        <v>82</v>
      </c>
      <c r="E19" s="8">
        <v>2024</v>
      </c>
      <c r="F19" s="8" t="s">
        <v>83</v>
      </c>
      <c r="G19" s="8">
        <v>16</v>
      </c>
      <c r="H19" s="8">
        <v>2</v>
      </c>
      <c r="I19" s="8">
        <v>877</v>
      </c>
      <c r="J19" s="8"/>
      <c r="K19" s="8"/>
      <c r="L19" s="8">
        <v>10</v>
      </c>
      <c r="M19" s="8" t="s">
        <v>84</v>
      </c>
      <c r="N19" s="8" t="s">
        <v>233</v>
      </c>
      <c r="O19" s="8" t="s">
        <v>32</v>
      </c>
      <c r="P19" s="8" t="s">
        <v>33</v>
      </c>
      <c r="Q19" s="8" t="s">
        <v>44</v>
      </c>
      <c r="R19" s="8" t="s">
        <v>34</v>
      </c>
      <c r="S19" s="8" t="s">
        <v>86</v>
      </c>
    </row>
    <row r="20" spans="1:19" x14ac:dyDescent="0.3">
      <c r="A20" s="8" t="s">
        <v>234</v>
      </c>
      <c r="B20" s="8" t="s">
        <v>235</v>
      </c>
      <c r="C20" s="8" t="s">
        <v>236</v>
      </c>
      <c r="D20" s="8" t="s">
        <v>237</v>
      </c>
      <c r="E20" s="8">
        <v>2025</v>
      </c>
      <c r="F20" s="8" t="s">
        <v>238</v>
      </c>
      <c r="G20" s="8"/>
      <c r="H20" s="8"/>
      <c r="I20" s="8"/>
      <c r="J20" s="8">
        <v>436</v>
      </c>
      <c r="K20" s="8">
        <v>442</v>
      </c>
      <c r="L20" s="8">
        <v>0</v>
      </c>
      <c r="M20" s="8" t="s">
        <v>239</v>
      </c>
      <c r="N20" s="8" t="s">
        <v>240</v>
      </c>
      <c r="O20" s="8" t="s">
        <v>70</v>
      </c>
      <c r="P20" s="8" t="s">
        <v>33</v>
      </c>
      <c r="Q20" s="8"/>
      <c r="R20" s="8" t="s">
        <v>34</v>
      </c>
      <c r="S20" s="8" t="s">
        <v>241</v>
      </c>
    </row>
    <row r="21" spans="1:19" x14ac:dyDescent="0.3">
      <c r="A21" s="8" t="s">
        <v>242</v>
      </c>
      <c r="B21" s="8" t="s">
        <v>243</v>
      </c>
      <c r="C21" s="8" t="s">
        <v>244</v>
      </c>
      <c r="D21" s="8" t="s">
        <v>245</v>
      </c>
      <c r="E21" s="8">
        <v>2026</v>
      </c>
      <c r="F21" s="8" t="s">
        <v>246</v>
      </c>
      <c r="G21" s="8" t="s">
        <v>247</v>
      </c>
      <c r="H21" s="8"/>
      <c r="I21" s="8"/>
      <c r="J21" s="8">
        <v>366</v>
      </c>
      <c r="K21" s="8">
        <v>387</v>
      </c>
      <c r="L21" s="8">
        <v>0</v>
      </c>
      <c r="M21" s="8" t="s">
        <v>248</v>
      </c>
      <c r="N21" s="8" t="s">
        <v>249</v>
      </c>
      <c r="O21" s="8" t="s">
        <v>70</v>
      </c>
      <c r="P21" s="8" t="s">
        <v>33</v>
      </c>
      <c r="Q21" s="8"/>
      <c r="R21" s="8" t="s">
        <v>34</v>
      </c>
      <c r="S21" s="8" t="s">
        <v>250</v>
      </c>
    </row>
    <row r="22" spans="1:19" x14ac:dyDescent="0.3">
      <c r="A22" s="8" t="s">
        <v>251</v>
      </c>
      <c r="B22" s="8" t="s">
        <v>252</v>
      </c>
      <c r="C22" s="8" t="s">
        <v>253</v>
      </c>
      <c r="D22" s="8" t="s">
        <v>254</v>
      </c>
      <c r="E22" s="8">
        <v>2025</v>
      </c>
      <c r="F22" s="8" t="s">
        <v>255</v>
      </c>
      <c r="G22" s="8"/>
      <c r="H22" s="8"/>
      <c r="I22" s="8"/>
      <c r="J22" s="8"/>
      <c r="K22" s="8"/>
      <c r="L22" s="8">
        <v>1</v>
      </c>
      <c r="M22" s="8" t="s">
        <v>256</v>
      </c>
      <c r="N22" s="8" t="s">
        <v>257</v>
      </c>
      <c r="O22" s="8" t="s">
        <v>70</v>
      </c>
      <c r="P22" s="8" t="s">
        <v>33</v>
      </c>
      <c r="Q22" s="8"/>
      <c r="R22" s="8" t="s">
        <v>34</v>
      </c>
      <c r="S22" s="8" t="s">
        <v>258</v>
      </c>
    </row>
    <row r="23" spans="1:19" x14ac:dyDescent="0.3">
      <c r="A23" s="8" t="s">
        <v>259</v>
      </c>
      <c r="B23" s="8" t="s">
        <v>260</v>
      </c>
      <c r="C23" s="8" t="s">
        <v>261</v>
      </c>
      <c r="D23" s="8" t="s">
        <v>262</v>
      </c>
      <c r="E23" s="8">
        <v>2023</v>
      </c>
      <c r="F23" s="8" t="s">
        <v>124</v>
      </c>
      <c r="G23" s="8">
        <v>23</v>
      </c>
      <c r="H23" s="8">
        <v>6</v>
      </c>
      <c r="I23" s="8">
        <v>3127</v>
      </c>
      <c r="J23" s="8"/>
      <c r="K23" s="8"/>
      <c r="L23" s="8">
        <v>30</v>
      </c>
      <c r="M23" s="8" t="s">
        <v>263</v>
      </c>
      <c r="N23" s="8" t="s">
        <v>264</v>
      </c>
      <c r="O23" s="8" t="s">
        <v>32</v>
      </c>
      <c r="P23" s="8" t="s">
        <v>33</v>
      </c>
      <c r="Q23" s="8" t="s">
        <v>44</v>
      </c>
      <c r="R23" s="8" t="s">
        <v>34</v>
      </c>
      <c r="S23" s="8" t="s">
        <v>265</v>
      </c>
    </row>
    <row r="24" spans="1:19" x14ac:dyDescent="0.3">
      <c r="A24" s="8" t="s">
        <v>266</v>
      </c>
      <c r="B24" s="8" t="s">
        <v>267</v>
      </c>
      <c r="C24" s="8" t="s">
        <v>268</v>
      </c>
      <c r="D24" s="8" t="s">
        <v>269</v>
      </c>
      <c r="E24" s="8">
        <v>2024</v>
      </c>
      <c r="F24" s="8" t="s">
        <v>270</v>
      </c>
      <c r="G24" s="8"/>
      <c r="H24" s="8"/>
      <c r="I24" s="8"/>
      <c r="J24" s="8">
        <v>1292</v>
      </c>
      <c r="K24" s="8">
        <v>1296</v>
      </c>
      <c r="L24" s="8">
        <v>5</v>
      </c>
      <c r="M24" s="8" t="s">
        <v>271</v>
      </c>
      <c r="N24" s="8" t="s">
        <v>272</v>
      </c>
      <c r="O24" s="8" t="s">
        <v>70</v>
      </c>
      <c r="P24" s="8" t="s">
        <v>33</v>
      </c>
      <c r="Q24" s="8"/>
      <c r="R24" s="8" t="s">
        <v>34</v>
      </c>
      <c r="S24" s="8" t="s">
        <v>273</v>
      </c>
    </row>
    <row r="25" spans="1:19" x14ac:dyDescent="0.3">
      <c r="A25" s="8" t="s">
        <v>274</v>
      </c>
      <c r="B25" s="8" t="s">
        <v>275</v>
      </c>
      <c r="C25" s="8" t="s">
        <v>276</v>
      </c>
      <c r="D25" s="8" t="s">
        <v>277</v>
      </c>
      <c r="E25" s="8">
        <v>2023</v>
      </c>
      <c r="F25" s="8" t="s">
        <v>28</v>
      </c>
      <c r="G25" s="8">
        <v>211</v>
      </c>
      <c r="H25" s="8"/>
      <c r="I25" s="8">
        <v>118510</v>
      </c>
      <c r="J25" s="8"/>
      <c r="K25" s="8"/>
      <c r="L25" s="8">
        <v>22</v>
      </c>
      <c r="M25" s="8" t="s">
        <v>278</v>
      </c>
      <c r="N25" s="8" t="s">
        <v>279</v>
      </c>
      <c r="O25" s="8" t="s">
        <v>32</v>
      </c>
      <c r="P25" s="8" t="s">
        <v>33</v>
      </c>
      <c r="Q25" s="8" t="s">
        <v>280</v>
      </c>
      <c r="R25" s="8" t="s">
        <v>34</v>
      </c>
      <c r="S25" s="8" t="s">
        <v>281</v>
      </c>
    </row>
    <row r="26" spans="1:19" x14ac:dyDescent="0.3">
      <c r="A26" s="8" t="s">
        <v>282</v>
      </c>
      <c r="B26" s="8" t="s">
        <v>283</v>
      </c>
      <c r="C26" s="8" t="s">
        <v>284</v>
      </c>
      <c r="D26" s="8" t="s">
        <v>285</v>
      </c>
      <c r="E26" s="8">
        <v>2025</v>
      </c>
      <c r="F26" s="8" t="s">
        <v>286</v>
      </c>
      <c r="G26" s="8"/>
      <c r="H26" s="8"/>
      <c r="I26" s="8"/>
      <c r="J26" s="8"/>
      <c r="K26" s="8"/>
      <c r="L26" s="8">
        <v>1</v>
      </c>
      <c r="M26" s="8" t="s">
        <v>287</v>
      </c>
      <c r="N26" s="8" t="s">
        <v>288</v>
      </c>
      <c r="O26" s="8" t="s">
        <v>70</v>
      </c>
      <c r="P26" s="8" t="s">
        <v>33</v>
      </c>
      <c r="Q26" s="8"/>
      <c r="R26" s="8" t="s">
        <v>34</v>
      </c>
      <c r="S26" s="8" t="s">
        <v>289</v>
      </c>
    </row>
    <row r="27" spans="1:19" x14ac:dyDescent="0.3">
      <c r="A27" s="8" t="s">
        <v>290</v>
      </c>
      <c r="B27" s="8" t="s">
        <v>291</v>
      </c>
      <c r="C27" s="8" t="s">
        <v>292</v>
      </c>
      <c r="D27" s="8" t="s">
        <v>293</v>
      </c>
      <c r="E27" s="8">
        <v>2022</v>
      </c>
      <c r="F27" s="8" t="s">
        <v>124</v>
      </c>
      <c r="G27" s="8">
        <v>22</v>
      </c>
      <c r="H27" s="8">
        <v>18</v>
      </c>
      <c r="I27" s="8">
        <v>6897</v>
      </c>
      <c r="J27" s="8"/>
      <c r="K27" s="8"/>
      <c r="L27" s="8">
        <v>29</v>
      </c>
      <c r="M27" s="8" t="s">
        <v>294</v>
      </c>
      <c r="N27" s="8" t="s">
        <v>295</v>
      </c>
      <c r="O27" s="8" t="s">
        <v>32</v>
      </c>
      <c r="P27" s="8" t="s">
        <v>33</v>
      </c>
      <c r="Q27" s="8" t="s">
        <v>44</v>
      </c>
      <c r="R27" s="8" t="s">
        <v>34</v>
      </c>
      <c r="S27" s="8" t="s">
        <v>296</v>
      </c>
    </row>
    <row r="28" spans="1:19" x14ac:dyDescent="0.3">
      <c r="A28" s="8" t="s">
        <v>297</v>
      </c>
      <c r="B28" s="8" t="s">
        <v>298</v>
      </c>
      <c r="C28" s="8" t="s">
        <v>299</v>
      </c>
      <c r="D28" s="8" t="s">
        <v>300</v>
      </c>
      <c r="E28" s="8">
        <v>2025</v>
      </c>
      <c r="F28" s="8" t="s">
        <v>301</v>
      </c>
      <c r="G28" s="8">
        <v>13639</v>
      </c>
      <c r="H28" s="8"/>
      <c r="I28" s="8" t="s">
        <v>302</v>
      </c>
      <c r="J28" s="8"/>
      <c r="K28" s="8"/>
      <c r="L28" s="8">
        <v>0</v>
      </c>
      <c r="M28" s="8" t="s">
        <v>303</v>
      </c>
      <c r="N28" s="8" t="s">
        <v>304</v>
      </c>
      <c r="O28" s="8" t="s">
        <v>70</v>
      </c>
      <c r="P28" s="8" t="s">
        <v>33</v>
      </c>
      <c r="Q28" s="8"/>
      <c r="R28" s="8" t="s">
        <v>34</v>
      </c>
      <c r="S28" s="8" t="s">
        <v>305</v>
      </c>
    </row>
    <row r="29" spans="1:19" x14ac:dyDescent="0.3">
      <c r="A29" s="8" t="s">
        <v>306</v>
      </c>
      <c r="B29" s="8" t="s">
        <v>307</v>
      </c>
      <c r="C29" s="8" t="s">
        <v>308</v>
      </c>
      <c r="D29" s="8" t="s">
        <v>309</v>
      </c>
      <c r="E29" s="8">
        <v>2021</v>
      </c>
      <c r="F29" s="8" t="s">
        <v>310</v>
      </c>
      <c r="G29" s="8">
        <v>10</v>
      </c>
      <c r="H29" s="8">
        <v>4</v>
      </c>
      <c r="I29" s="8">
        <v>71</v>
      </c>
      <c r="J29" s="8"/>
      <c r="K29" s="8"/>
      <c r="L29" s="8">
        <v>10</v>
      </c>
      <c r="M29" s="8" t="s">
        <v>311</v>
      </c>
      <c r="N29" s="8" t="s">
        <v>312</v>
      </c>
      <c r="O29" s="8" t="s">
        <v>32</v>
      </c>
      <c r="P29" s="8" t="s">
        <v>33</v>
      </c>
      <c r="Q29" s="8" t="s">
        <v>44</v>
      </c>
      <c r="R29" s="8" t="s">
        <v>34</v>
      </c>
      <c r="S29" s="8" t="s">
        <v>313</v>
      </c>
    </row>
    <row r="30" spans="1:19" x14ac:dyDescent="0.3">
      <c r="A30" s="8" t="s">
        <v>314</v>
      </c>
      <c r="B30" s="8" t="s">
        <v>315</v>
      </c>
      <c r="C30" s="8" t="s">
        <v>316</v>
      </c>
      <c r="D30" s="8" t="s">
        <v>317</v>
      </c>
      <c r="E30" s="8">
        <v>2023</v>
      </c>
      <c r="F30" s="8" t="s">
        <v>301</v>
      </c>
      <c r="G30" s="8">
        <v>12968</v>
      </c>
      <c r="H30" s="8"/>
      <c r="I30" s="8" t="s">
        <v>318</v>
      </c>
      <c r="J30" s="8"/>
      <c r="K30" s="8"/>
      <c r="L30" s="8">
        <v>1</v>
      </c>
      <c r="M30" s="8" t="s">
        <v>319</v>
      </c>
      <c r="N30" s="8" t="s">
        <v>320</v>
      </c>
      <c r="O30" s="8" t="s">
        <v>70</v>
      </c>
      <c r="P30" s="8" t="s">
        <v>33</v>
      </c>
      <c r="Q30" s="8"/>
      <c r="R30" s="8" t="s">
        <v>34</v>
      </c>
      <c r="S30" s="8" t="s">
        <v>321</v>
      </c>
    </row>
    <row r="31" spans="1:19" x14ac:dyDescent="0.3">
      <c r="A31" s="8" t="s">
        <v>322</v>
      </c>
      <c r="B31" s="8" t="s">
        <v>323</v>
      </c>
      <c r="C31" s="8" t="s">
        <v>324</v>
      </c>
      <c r="D31" s="8" t="s">
        <v>325</v>
      </c>
      <c r="E31" s="8">
        <v>2022</v>
      </c>
      <c r="F31" s="8" t="s">
        <v>301</v>
      </c>
      <c r="G31" s="8">
        <v>12271</v>
      </c>
      <c r="H31" s="8"/>
      <c r="I31" s="8" t="s">
        <v>326</v>
      </c>
      <c r="J31" s="8"/>
      <c r="K31" s="8"/>
      <c r="L31" s="8">
        <v>0</v>
      </c>
      <c r="M31" s="8" t="s">
        <v>327</v>
      </c>
      <c r="N31" s="8" t="s">
        <v>328</v>
      </c>
      <c r="O31" s="8" t="s">
        <v>70</v>
      </c>
      <c r="P31" s="8" t="s">
        <v>33</v>
      </c>
      <c r="Q31" s="8"/>
      <c r="R31" s="8" t="s">
        <v>34</v>
      </c>
      <c r="S31" s="8" t="s">
        <v>329</v>
      </c>
    </row>
    <row r="32" spans="1:19" x14ac:dyDescent="0.3">
      <c r="A32" s="8" t="s">
        <v>330</v>
      </c>
      <c r="B32" s="8" t="s">
        <v>331</v>
      </c>
      <c r="C32" s="8" t="s">
        <v>332</v>
      </c>
      <c r="D32" s="8" t="s">
        <v>333</v>
      </c>
      <c r="E32" s="8">
        <v>2025</v>
      </c>
      <c r="F32" s="8" t="s">
        <v>334</v>
      </c>
      <c r="G32" s="8"/>
      <c r="H32" s="8"/>
      <c r="I32" s="8"/>
      <c r="J32" s="8">
        <v>45</v>
      </c>
      <c r="K32" s="8">
        <v>47</v>
      </c>
      <c r="L32" s="8">
        <v>0</v>
      </c>
      <c r="M32" s="8" t="s">
        <v>335</v>
      </c>
      <c r="N32" s="8" t="s">
        <v>336</v>
      </c>
      <c r="O32" s="8" t="s">
        <v>70</v>
      </c>
      <c r="P32" s="8" t="s">
        <v>33</v>
      </c>
      <c r="Q32" s="8"/>
      <c r="R32" s="8" t="s">
        <v>34</v>
      </c>
      <c r="S32" s="8" t="s">
        <v>337</v>
      </c>
    </row>
    <row r="33" spans="1:19" x14ac:dyDescent="0.3">
      <c r="A33" s="8" t="s">
        <v>338</v>
      </c>
      <c r="B33" s="8" t="s">
        <v>339</v>
      </c>
      <c r="C33" s="8" t="s">
        <v>340</v>
      </c>
      <c r="D33" s="8" t="s">
        <v>341</v>
      </c>
      <c r="E33" s="8">
        <v>2024</v>
      </c>
      <c r="F33" s="8" t="s">
        <v>124</v>
      </c>
      <c r="G33" s="8">
        <v>24</v>
      </c>
      <c r="H33" s="8">
        <v>1</v>
      </c>
      <c r="I33" s="8">
        <v>49</v>
      </c>
      <c r="J33" s="8"/>
      <c r="K33" s="8"/>
      <c r="L33" s="8">
        <v>8</v>
      </c>
      <c r="M33" s="8" t="s">
        <v>342</v>
      </c>
      <c r="N33" s="8" t="s">
        <v>343</v>
      </c>
      <c r="O33" s="8" t="s">
        <v>32</v>
      </c>
      <c r="P33" s="8" t="s">
        <v>33</v>
      </c>
      <c r="Q33" s="8" t="s">
        <v>44</v>
      </c>
      <c r="R33" s="8" t="s">
        <v>34</v>
      </c>
      <c r="S33" s="8" t="s">
        <v>344</v>
      </c>
    </row>
    <row r="34" spans="1:19" x14ac:dyDescent="0.3">
      <c r="A34" s="8" t="s">
        <v>345</v>
      </c>
      <c r="B34" s="8" t="s">
        <v>346</v>
      </c>
      <c r="C34" s="8" t="s">
        <v>347</v>
      </c>
      <c r="D34" s="8" t="s">
        <v>348</v>
      </c>
      <c r="E34" s="8">
        <v>2021</v>
      </c>
      <c r="F34" s="8" t="s">
        <v>349</v>
      </c>
      <c r="G34" s="8"/>
      <c r="H34" s="8"/>
      <c r="I34" s="8"/>
      <c r="J34" s="8"/>
      <c r="K34" s="8"/>
      <c r="L34" s="8">
        <v>11</v>
      </c>
      <c r="M34" s="8"/>
      <c r="N34" s="8" t="s">
        <v>350</v>
      </c>
      <c r="O34" s="8" t="s">
        <v>70</v>
      </c>
      <c r="P34" s="8" t="s">
        <v>33</v>
      </c>
      <c r="Q34" s="8"/>
      <c r="R34" s="8" t="s">
        <v>34</v>
      </c>
      <c r="S34" s="8" t="s">
        <v>351</v>
      </c>
    </row>
    <row r="35" spans="1:19" x14ac:dyDescent="0.3">
      <c r="A35" s="8" t="s">
        <v>352</v>
      </c>
      <c r="B35" s="8" t="s">
        <v>353</v>
      </c>
      <c r="C35" s="8" t="s">
        <v>354</v>
      </c>
      <c r="D35" s="8" t="s">
        <v>355</v>
      </c>
      <c r="E35" s="8">
        <v>2023</v>
      </c>
      <c r="F35" s="8" t="s">
        <v>124</v>
      </c>
      <c r="G35" s="8">
        <v>23</v>
      </c>
      <c r="H35" s="8">
        <v>8</v>
      </c>
      <c r="I35" s="8">
        <v>3887</v>
      </c>
      <c r="J35" s="8"/>
      <c r="K35" s="8"/>
      <c r="L35" s="8">
        <v>50</v>
      </c>
      <c r="M35" s="8" t="s">
        <v>356</v>
      </c>
      <c r="N35" s="8" t="s">
        <v>357</v>
      </c>
      <c r="O35" s="8" t="s">
        <v>32</v>
      </c>
      <c r="P35" s="8" t="s">
        <v>33</v>
      </c>
      <c r="Q35" s="8" t="s">
        <v>44</v>
      </c>
      <c r="R35" s="8" t="s">
        <v>34</v>
      </c>
      <c r="S35" s="8" t="s">
        <v>358</v>
      </c>
    </row>
    <row r="36" spans="1:19" x14ac:dyDescent="0.3">
      <c r="A36" s="8" t="s">
        <v>359</v>
      </c>
      <c r="B36" s="8" t="s">
        <v>360</v>
      </c>
      <c r="C36" s="8" t="s">
        <v>361</v>
      </c>
      <c r="D36" s="8" t="s">
        <v>362</v>
      </c>
      <c r="E36" s="8">
        <v>2024</v>
      </c>
      <c r="F36" s="8" t="s">
        <v>83</v>
      </c>
      <c r="G36" s="8">
        <v>16</v>
      </c>
      <c r="H36" s="8">
        <v>17</v>
      </c>
      <c r="I36" s="8">
        <v>7640</v>
      </c>
      <c r="J36" s="8"/>
      <c r="K36" s="8"/>
      <c r="L36" s="8">
        <v>6</v>
      </c>
      <c r="M36" s="8" t="s">
        <v>363</v>
      </c>
      <c r="N36" s="8" t="s">
        <v>364</v>
      </c>
      <c r="O36" s="8" t="s">
        <v>32</v>
      </c>
      <c r="P36" s="8" t="s">
        <v>33</v>
      </c>
      <c r="Q36" s="8" t="s">
        <v>61</v>
      </c>
      <c r="R36" s="8" t="s">
        <v>34</v>
      </c>
      <c r="S36" s="8" t="s">
        <v>365</v>
      </c>
    </row>
    <row r="37" spans="1:19" x14ac:dyDescent="0.3">
      <c r="A37" s="8" t="s">
        <v>366</v>
      </c>
      <c r="B37" s="8" t="s">
        <v>367</v>
      </c>
      <c r="C37" s="8">
        <v>57219588402</v>
      </c>
      <c r="D37" s="8" t="s">
        <v>368</v>
      </c>
      <c r="E37" s="8">
        <v>2021</v>
      </c>
      <c r="F37" s="8" t="s">
        <v>124</v>
      </c>
      <c r="G37" s="8">
        <v>21</v>
      </c>
      <c r="H37" s="8">
        <v>22</v>
      </c>
      <c r="I37" s="8">
        <v>7527</v>
      </c>
      <c r="J37" s="8"/>
      <c r="K37" s="8"/>
      <c r="L37" s="8">
        <v>35</v>
      </c>
      <c r="M37" s="8" t="s">
        <v>369</v>
      </c>
      <c r="N37" s="8" t="s">
        <v>370</v>
      </c>
      <c r="O37" s="8" t="s">
        <v>32</v>
      </c>
      <c r="P37" s="8" t="s">
        <v>33</v>
      </c>
      <c r="Q37" s="8" t="s">
        <v>44</v>
      </c>
      <c r="R37" s="8" t="s">
        <v>34</v>
      </c>
      <c r="S37" s="8" t="s">
        <v>371</v>
      </c>
    </row>
    <row r="38" spans="1:19" x14ac:dyDescent="0.3">
      <c r="A38" s="8" t="s">
        <v>372</v>
      </c>
      <c r="B38" s="8" t="s">
        <v>373</v>
      </c>
      <c r="C38" s="8" t="s">
        <v>374</v>
      </c>
      <c r="D38" s="8" t="s">
        <v>375</v>
      </c>
      <c r="E38" s="8">
        <v>2021</v>
      </c>
      <c r="F38" s="8" t="s">
        <v>124</v>
      </c>
      <c r="G38" s="8">
        <v>21</v>
      </c>
      <c r="H38" s="8">
        <v>5</v>
      </c>
      <c r="I38" s="8">
        <v>1592</v>
      </c>
      <c r="J38" s="8">
        <v>1</v>
      </c>
      <c r="K38" s="8">
        <v>14</v>
      </c>
      <c r="L38" s="8">
        <v>44</v>
      </c>
      <c r="M38" s="8" t="s">
        <v>376</v>
      </c>
      <c r="N38" s="8" t="s">
        <v>377</v>
      </c>
      <c r="O38" s="8" t="s">
        <v>32</v>
      </c>
      <c r="P38" s="8" t="s">
        <v>33</v>
      </c>
      <c r="Q38" s="8" t="s">
        <v>44</v>
      </c>
      <c r="R38" s="8" t="s">
        <v>34</v>
      </c>
      <c r="S38" s="8" t="s">
        <v>378</v>
      </c>
    </row>
    <row r="39" spans="1:19" x14ac:dyDescent="0.3">
      <c r="A39" s="8" t="s">
        <v>379</v>
      </c>
      <c r="B39" s="8" t="s">
        <v>380</v>
      </c>
      <c r="C39" s="8" t="s">
        <v>381</v>
      </c>
      <c r="D39" s="8" t="s">
        <v>382</v>
      </c>
      <c r="E39" s="8">
        <v>2025</v>
      </c>
      <c r="F39" s="8" t="s">
        <v>383</v>
      </c>
      <c r="G39" s="8"/>
      <c r="H39" s="8"/>
      <c r="I39" s="8"/>
      <c r="J39" s="8"/>
      <c r="K39" s="8"/>
      <c r="L39" s="8">
        <v>0</v>
      </c>
      <c r="M39" s="8" t="s">
        <v>384</v>
      </c>
      <c r="N39" s="8" t="s">
        <v>385</v>
      </c>
      <c r="O39" s="8" t="s">
        <v>70</v>
      </c>
      <c r="P39" s="8" t="s">
        <v>33</v>
      </c>
      <c r="Q39" s="8"/>
      <c r="R39" s="8" t="s">
        <v>34</v>
      </c>
      <c r="S39" s="8" t="s">
        <v>386</v>
      </c>
    </row>
    <row r="40" spans="1:19" x14ac:dyDescent="0.3">
      <c r="A40" s="8" t="s">
        <v>387</v>
      </c>
      <c r="B40" s="8" t="s">
        <v>388</v>
      </c>
      <c r="C40" s="8" t="s">
        <v>389</v>
      </c>
      <c r="D40" s="8" t="s">
        <v>390</v>
      </c>
      <c r="E40" s="8">
        <v>2024</v>
      </c>
      <c r="F40" s="8" t="s">
        <v>391</v>
      </c>
      <c r="G40" s="8"/>
      <c r="H40" s="8"/>
      <c r="I40" s="8"/>
      <c r="J40" s="8"/>
      <c r="K40" s="8"/>
      <c r="L40" s="8">
        <v>2</v>
      </c>
      <c r="M40" s="8" t="s">
        <v>392</v>
      </c>
      <c r="N40" s="8" t="s">
        <v>393</v>
      </c>
      <c r="O40" s="8" t="s">
        <v>70</v>
      </c>
      <c r="P40" s="8" t="s">
        <v>33</v>
      </c>
      <c r="Q40" s="8"/>
      <c r="R40" s="8" t="s">
        <v>34</v>
      </c>
      <c r="S40" s="8" t="s">
        <v>394</v>
      </c>
    </row>
    <row r="41" spans="1:19" x14ac:dyDescent="0.3">
      <c r="A41" s="8" t="s">
        <v>395</v>
      </c>
      <c r="B41" s="8" t="s">
        <v>396</v>
      </c>
      <c r="C41" s="8" t="s">
        <v>397</v>
      </c>
      <c r="D41" s="8" t="s">
        <v>398</v>
      </c>
      <c r="E41" s="8">
        <v>2022</v>
      </c>
      <c r="F41" s="8" t="s">
        <v>399</v>
      </c>
      <c r="G41" s="8" t="s">
        <v>400</v>
      </c>
      <c r="H41" s="8"/>
      <c r="I41" s="8"/>
      <c r="J41" s="8">
        <v>790</v>
      </c>
      <c r="K41" s="8">
        <v>794</v>
      </c>
      <c r="L41" s="8">
        <v>4</v>
      </c>
      <c r="M41" s="8" t="s">
        <v>401</v>
      </c>
      <c r="N41" s="8" t="s">
        <v>402</v>
      </c>
      <c r="O41" s="8" t="s">
        <v>70</v>
      </c>
      <c r="P41" s="8" t="s">
        <v>33</v>
      </c>
      <c r="Q41" s="8" t="s">
        <v>403</v>
      </c>
      <c r="R41" s="8" t="s">
        <v>34</v>
      </c>
      <c r="S41" s="8" t="s">
        <v>404</v>
      </c>
    </row>
    <row r="42" spans="1:19" x14ac:dyDescent="0.3">
      <c r="A42" s="8" t="s">
        <v>405</v>
      </c>
      <c r="B42" s="8" t="s">
        <v>406</v>
      </c>
      <c r="C42" s="8" t="s">
        <v>407</v>
      </c>
      <c r="D42" s="8" t="s">
        <v>408</v>
      </c>
      <c r="E42" s="8">
        <v>2022</v>
      </c>
      <c r="F42" s="8" t="s">
        <v>124</v>
      </c>
      <c r="G42" s="8">
        <v>22</v>
      </c>
      <c r="H42" s="8">
        <v>2</v>
      </c>
      <c r="I42" s="8">
        <v>413</v>
      </c>
      <c r="J42" s="8"/>
      <c r="K42" s="8"/>
      <c r="L42" s="8">
        <v>29</v>
      </c>
      <c r="M42" s="8" t="s">
        <v>409</v>
      </c>
      <c r="N42" s="8" t="s">
        <v>410</v>
      </c>
      <c r="O42" s="8" t="s">
        <v>32</v>
      </c>
      <c r="P42" s="8" t="s">
        <v>33</v>
      </c>
      <c r="Q42" s="8" t="s">
        <v>44</v>
      </c>
      <c r="R42" s="8" t="s">
        <v>34</v>
      </c>
      <c r="S42" s="8" t="s">
        <v>411</v>
      </c>
    </row>
    <row r="43" spans="1:19" x14ac:dyDescent="0.3">
      <c r="A43" s="8" t="s">
        <v>412</v>
      </c>
      <c r="B43" s="8" t="s">
        <v>413</v>
      </c>
      <c r="C43" s="8" t="s">
        <v>414</v>
      </c>
      <c r="D43" s="8" t="s">
        <v>415</v>
      </c>
      <c r="E43" s="8">
        <v>2025</v>
      </c>
      <c r="F43" s="8" t="s">
        <v>416</v>
      </c>
      <c r="G43" s="8">
        <v>12</v>
      </c>
      <c r="H43" s="8">
        <v>24</v>
      </c>
      <c r="I43" s="8"/>
      <c r="J43" s="8">
        <v>52675</v>
      </c>
      <c r="K43" s="8">
        <v>52686</v>
      </c>
      <c r="L43" s="8">
        <v>2</v>
      </c>
      <c r="M43" s="8" t="s">
        <v>417</v>
      </c>
      <c r="N43" s="8" t="s">
        <v>418</v>
      </c>
      <c r="O43" s="8" t="s">
        <v>32</v>
      </c>
      <c r="P43" s="8" t="s">
        <v>33</v>
      </c>
      <c r="Q43" s="8"/>
      <c r="R43" s="8" t="s">
        <v>34</v>
      </c>
      <c r="S43" s="8" t="s">
        <v>419</v>
      </c>
    </row>
    <row r="44" spans="1:19" x14ac:dyDescent="0.3">
      <c r="A44" s="8" t="s">
        <v>420</v>
      </c>
      <c r="B44" s="8" t="s">
        <v>421</v>
      </c>
      <c r="C44" s="8">
        <v>56110428300</v>
      </c>
      <c r="D44" s="8" t="s">
        <v>422</v>
      </c>
      <c r="E44" s="8">
        <v>2025</v>
      </c>
      <c r="F44" s="8" t="s">
        <v>423</v>
      </c>
      <c r="G44" s="8" t="s">
        <v>424</v>
      </c>
      <c r="H44" s="8"/>
      <c r="I44" s="8"/>
      <c r="J44" s="8">
        <v>199</v>
      </c>
      <c r="K44" s="8">
        <v>214</v>
      </c>
      <c r="L44" s="8">
        <v>0</v>
      </c>
      <c r="M44" s="8" t="s">
        <v>425</v>
      </c>
      <c r="N44" s="8" t="s">
        <v>426</v>
      </c>
      <c r="O44" s="8" t="s">
        <v>70</v>
      </c>
      <c r="P44" s="8" t="s">
        <v>33</v>
      </c>
      <c r="Q44" s="8"/>
      <c r="R44" s="8" t="s">
        <v>34</v>
      </c>
      <c r="S44" s="8" t="s">
        <v>427</v>
      </c>
    </row>
    <row r="45" spans="1:19" x14ac:dyDescent="0.3">
      <c r="A45" s="8" t="s">
        <v>428</v>
      </c>
      <c r="B45" s="8" t="s">
        <v>429</v>
      </c>
      <c r="C45" s="8" t="s">
        <v>430</v>
      </c>
      <c r="D45" s="8" t="s">
        <v>431</v>
      </c>
      <c r="E45" s="8">
        <v>2026</v>
      </c>
      <c r="F45" s="8" t="s">
        <v>40</v>
      </c>
      <c r="G45" s="8">
        <v>16</v>
      </c>
      <c r="H45" s="8">
        <v>6</v>
      </c>
      <c r="I45" s="8">
        <v>2863</v>
      </c>
      <c r="J45" s="8"/>
      <c r="K45" s="8"/>
      <c r="L45" s="8">
        <v>0</v>
      </c>
      <c r="M45" s="8" t="s">
        <v>432</v>
      </c>
      <c r="N45" s="8" t="s">
        <v>433</v>
      </c>
      <c r="O45" s="8" t="s">
        <v>32</v>
      </c>
      <c r="P45" s="8" t="s">
        <v>33</v>
      </c>
      <c r="Q45" s="8" t="s">
        <v>44</v>
      </c>
      <c r="R45" s="8" t="s">
        <v>34</v>
      </c>
      <c r="S45" s="8" t="s">
        <v>434</v>
      </c>
    </row>
    <row r="46" spans="1:19" x14ac:dyDescent="0.3">
      <c r="A46" s="8" t="s">
        <v>128</v>
      </c>
      <c r="B46" s="8" t="s">
        <v>127</v>
      </c>
      <c r="C46" s="8" t="s">
        <v>126</v>
      </c>
      <c r="D46" s="8" t="s">
        <v>125</v>
      </c>
      <c r="E46" s="8">
        <v>2025</v>
      </c>
      <c r="F46" s="8" t="s">
        <v>124</v>
      </c>
      <c r="G46" s="8">
        <v>25</v>
      </c>
      <c r="H46" s="8">
        <v>13</v>
      </c>
      <c r="I46" s="8">
        <v>4180</v>
      </c>
      <c r="J46" s="8"/>
      <c r="K46" s="8"/>
      <c r="L46" s="8">
        <v>1</v>
      </c>
      <c r="M46" s="8" t="s">
        <v>123</v>
      </c>
      <c r="N46" s="8" t="s">
        <v>122</v>
      </c>
      <c r="O46" s="8" t="s">
        <v>32</v>
      </c>
      <c r="P46" s="8" t="s">
        <v>33</v>
      </c>
      <c r="Q46" s="8" t="s">
        <v>44</v>
      </c>
      <c r="R46" s="8" t="s">
        <v>34</v>
      </c>
      <c r="S46" s="8" t="s">
        <v>121</v>
      </c>
    </row>
    <row r="47" spans="1:19" x14ac:dyDescent="0.3">
      <c r="A47" s="8" t="s">
        <v>435</v>
      </c>
      <c r="B47" s="8" t="s">
        <v>436</v>
      </c>
      <c r="C47" s="8" t="s">
        <v>437</v>
      </c>
      <c r="D47" s="8" t="s">
        <v>438</v>
      </c>
      <c r="E47" s="8">
        <v>2024</v>
      </c>
      <c r="F47" s="8" t="s">
        <v>439</v>
      </c>
      <c r="G47" s="8" t="s">
        <v>440</v>
      </c>
      <c r="H47" s="8"/>
      <c r="I47" s="8"/>
      <c r="J47" s="8">
        <v>317</v>
      </c>
      <c r="K47" s="8">
        <v>326</v>
      </c>
      <c r="L47" s="8">
        <v>2</v>
      </c>
      <c r="M47" s="8" t="s">
        <v>441</v>
      </c>
      <c r="N47" s="8" t="s">
        <v>442</v>
      </c>
      <c r="O47" s="8" t="s">
        <v>70</v>
      </c>
      <c r="P47" s="8" t="s">
        <v>33</v>
      </c>
      <c r="Q47" s="8"/>
      <c r="R47" s="8" t="s">
        <v>34</v>
      </c>
      <c r="S47" s="8" t="s">
        <v>443</v>
      </c>
    </row>
    <row r="48" spans="1:19" x14ac:dyDescent="0.3">
      <c r="A48" s="8" t="s">
        <v>444</v>
      </c>
      <c r="B48" s="8" t="s">
        <v>445</v>
      </c>
      <c r="C48" s="8" t="s">
        <v>446</v>
      </c>
      <c r="D48" s="8" t="s">
        <v>447</v>
      </c>
      <c r="E48" s="8">
        <v>2021</v>
      </c>
      <c r="F48" s="8" t="s">
        <v>448</v>
      </c>
      <c r="G48" s="8" t="s">
        <v>449</v>
      </c>
      <c r="H48" s="8"/>
      <c r="I48" s="8"/>
      <c r="J48" s="8">
        <v>4675</v>
      </c>
      <c r="K48" s="8">
        <v>4679</v>
      </c>
      <c r="L48" s="8">
        <v>12</v>
      </c>
      <c r="M48" s="8" t="s">
        <v>450</v>
      </c>
      <c r="N48" s="8" t="s">
        <v>451</v>
      </c>
      <c r="O48" s="8" t="s">
        <v>70</v>
      </c>
      <c r="P48" s="8" t="s">
        <v>33</v>
      </c>
      <c r="Q48" s="8"/>
      <c r="R48" s="8" t="s">
        <v>34</v>
      </c>
      <c r="S48" s="8" t="s">
        <v>452</v>
      </c>
    </row>
    <row r="49" spans="1:19" x14ac:dyDescent="0.3">
      <c r="A49" s="8" t="s">
        <v>453</v>
      </c>
      <c r="B49" s="8" t="s">
        <v>454</v>
      </c>
      <c r="C49" s="8" t="s">
        <v>455</v>
      </c>
      <c r="D49" s="8" t="s">
        <v>456</v>
      </c>
      <c r="E49" s="8">
        <v>2022</v>
      </c>
      <c r="F49" s="8" t="s">
        <v>301</v>
      </c>
      <c r="G49" s="8">
        <v>12008</v>
      </c>
      <c r="H49" s="8"/>
      <c r="I49" s="8" t="s">
        <v>457</v>
      </c>
      <c r="J49" s="8"/>
      <c r="K49" s="8"/>
      <c r="L49" s="8">
        <v>4</v>
      </c>
      <c r="M49" s="8" t="s">
        <v>458</v>
      </c>
      <c r="N49" s="8" t="s">
        <v>459</v>
      </c>
      <c r="O49" s="8" t="s">
        <v>70</v>
      </c>
      <c r="P49" s="8" t="s">
        <v>33</v>
      </c>
      <c r="Q49" s="8"/>
      <c r="R49" s="8" t="s">
        <v>34</v>
      </c>
      <c r="S49" s="8" t="s">
        <v>460</v>
      </c>
    </row>
    <row r="50" spans="1:19" x14ac:dyDescent="0.3">
      <c r="A50" s="8" t="s">
        <v>461</v>
      </c>
      <c r="B50" s="8" t="s">
        <v>462</v>
      </c>
      <c r="C50" s="8" t="s">
        <v>463</v>
      </c>
      <c r="D50" s="8" t="s">
        <v>464</v>
      </c>
      <c r="E50" s="8">
        <v>2025</v>
      </c>
      <c r="F50" s="8" t="s">
        <v>301</v>
      </c>
      <c r="G50" s="8">
        <v>13654</v>
      </c>
      <c r="H50" s="8"/>
      <c r="I50" s="8" t="s">
        <v>465</v>
      </c>
      <c r="J50" s="8"/>
      <c r="K50" s="8"/>
      <c r="L50" s="8">
        <v>0</v>
      </c>
      <c r="M50" s="8" t="s">
        <v>466</v>
      </c>
      <c r="N50" s="8" t="s">
        <v>467</v>
      </c>
      <c r="O50" s="8" t="s">
        <v>70</v>
      </c>
      <c r="P50" s="8" t="s">
        <v>33</v>
      </c>
      <c r="Q50" s="8"/>
      <c r="R50" s="8" t="s">
        <v>34</v>
      </c>
      <c r="S50" s="8" t="s">
        <v>468</v>
      </c>
    </row>
    <row r="51" spans="1:19" x14ac:dyDescent="0.3">
      <c r="A51" s="8" t="s">
        <v>469</v>
      </c>
      <c r="B51" s="8" t="s">
        <v>470</v>
      </c>
      <c r="C51" s="8" t="s">
        <v>471</v>
      </c>
      <c r="D51" s="8" t="s">
        <v>472</v>
      </c>
      <c r="E51" s="8">
        <v>2024</v>
      </c>
      <c r="F51" s="8" t="s">
        <v>473</v>
      </c>
      <c r="G51" s="8"/>
      <c r="H51" s="8"/>
      <c r="I51" s="8"/>
      <c r="J51" s="8"/>
      <c r="K51" s="8"/>
      <c r="L51" s="8">
        <v>0</v>
      </c>
      <c r="M51" s="8"/>
      <c r="N51" s="8" t="s">
        <v>474</v>
      </c>
      <c r="O51" s="8" t="s">
        <v>70</v>
      </c>
      <c r="P51" s="8" t="s">
        <v>33</v>
      </c>
      <c r="Q51" s="8"/>
      <c r="R51" s="8" t="s">
        <v>34</v>
      </c>
      <c r="S51" s="8" t="s">
        <v>475</v>
      </c>
    </row>
    <row r="52" spans="1:19" x14ac:dyDescent="0.3">
      <c r="A52" s="8" t="s">
        <v>476</v>
      </c>
      <c r="B52" s="8" t="s">
        <v>477</v>
      </c>
      <c r="C52" s="8" t="s">
        <v>478</v>
      </c>
      <c r="D52" s="8" t="s">
        <v>479</v>
      </c>
      <c r="E52" s="8">
        <v>2025</v>
      </c>
      <c r="F52" s="8" t="s">
        <v>40</v>
      </c>
      <c r="G52" s="8">
        <v>15</v>
      </c>
      <c r="H52" s="8">
        <v>9</v>
      </c>
      <c r="I52" s="8">
        <v>5203</v>
      </c>
      <c r="J52" s="8"/>
      <c r="K52" s="8"/>
      <c r="L52" s="8">
        <v>1</v>
      </c>
      <c r="M52" s="8" t="s">
        <v>480</v>
      </c>
      <c r="N52" s="8" t="s">
        <v>481</v>
      </c>
      <c r="O52" s="8" t="s">
        <v>32</v>
      </c>
      <c r="P52" s="8" t="s">
        <v>33</v>
      </c>
      <c r="Q52" s="8" t="s">
        <v>44</v>
      </c>
      <c r="R52" s="8" t="s">
        <v>34</v>
      </c>
      <c r="S52" s="8" t="s">
        <v>482</v>
      </c>
    </row>
    <row r="53" spans="1:19" x14ac:dyDescent="0.3">
      <c r="A53" s="8" t="s">
        <v>483</v>
      </c>
      <c r="B53" s="8" t="s">
        <v>484</v>
      </c>
      <c r="C53" s="8" t="s">
        <v>485</v>
      </c>
      <c r="D53" s="8" t="s">
        <v>486</v>
      </c>
      <c r="E53" s="8">
        <v>2024</v>
      </c>
      <c r="F53" s="8" t="s">
        <v>124</v>
      </c>
      <c r="G53" s="8">
        <v>24</v>
      </c>
      <c r="H53" s="8">
        <v>17</v>
      </c>
      <c r="I53" s="8">
        <v>5777</v>
      </c>
      <c r="J53" s="8"/>
      <c r="K53" s="8"/>
      <c r="L53" s="8">
        <v>8</v>
      </c>
      <c r="M53" s="8" t="s">
        <v>487</v>
      </c>
      <c r="N53" s="8" t="s">
        <v>488</v>
      </c>
      <c r="O53" s="8" t="s">
        <v>32</v>
      </c>
      <c r="P53" s="8" t="s">
        <v>33</v>
      </c>
      <c r="Q53" s="8" t="s">
        <v>44</v>
      </c>
      <c r="R53" s="8" t="s">
        <v>34</v>
      </c>
      <c r="S53" s="8" t="s">
        <v>489</v>
      </c>
    </row>
    <row r="54" spans="1:19" x14ac:dyDescent="0.3">
      <c r="A54" s="8"/>
      <c r="B54" s="8"/>
      <c r="C54" s="8"/>
      <c r="D54" s="8" t="s">
        <v>490</v>
      </c>
      <c r="E54" s="8">
        <v>2025</v>
      </c>
      <c r="F54" s="8" t="s">
        <v>490</v>
      </c>
      <c r="G54" s="8"/>
      <c r="H54" s="8"/>
      <c r="I54" s="8"/>
      <c r="J54" s="8"/>
      <c r="K54" s="8"/>
      <c r="L54" s="8">
        <v>0</v>
      </c>
      <c r="M54" s="8"/>
      <c r="N54" s="8" t="s">
        <v>491</v>
      </c>
      <c r="O54" s="8" t="s">
        <v>492</v>
      </c>
      <c r="P54" s="8" t="s">
        <v>33</v>
      </c>
      <c r="Q54" s="8"/>
      <c r="R54" s="8" t="s">
        <v>34</v>
      </c>
      <c r="S54" s="8" t="s">
        <v>493</v>
      </c>
    </row>
    <row r="55" spans="1:19" x14ac:dyDescent="0.3">
      <c r="A55" s="8" t="s">
        <v>494</v>
      </c>
      <c r="B55" s="8" t="s">
        <v>495</v>
      </c>
      <c r="C55" s="8" t="s">
        <v>496</v>
      </c>
      <c r="D55" s="8" t="s">
        <v>497</v>
      </c>
      <c r="E55" s="8">
        <v>2025</v>
      </c>
      <c r="F55" s="8" t="s">
        <v>301</v>
      </c>
      <c r="G55" s="8">
        <v>13542</v>
      </c>
      <c r="H55" s="8"/>
      <c r="I55" s="8" t="s">
        <v>498</v>
      </c>
      <c r="J55" s="8"/>
      <c r="K55" s="8"/>
      <c r="L55" s="8">
        <v>0</v>
      </c>
      <c r="M55" s="8" t="s">
        <v>499</v>
      </c>
      <c r="N55" s="8" t="s">
        <v>500</v>
      </c>
      <c r="O55" s="8" t="s">
        <v>70</v>
      </c>
      <c r="P55" s="8" t="s">
        <v>33</v>
      </c>
      <c r="Q55" s="8"/>
      <c r="R55" s="8" t="s">
        <v>34</v>
      </c>
      <c r="S55" s="8" t="s">
        <v>501</v>
      </c>
    </row>
    <row r="56" spans="1:19" x14ac:dyDescent="0.3">
      <c r="A56" s="8" t="s">
        <v>502</v>
      </c>
      <c r="B56" s="8" t="s">
        <v>503</v>
      </c>
      <c r="C56" s="8" t="s">
        <v>504</v>
      </c>
      <c r="D56" s="8" t="s">
        <v>505</v>
      </c>
      <c r="E56" s="8">
        <v>2023</v>
      </c>
      <c r="F56" s="8" t="s">
        <v>301</v>
      </c>
      <c r="G56" s="8">
        <v>12532</v>
      </c>
      <c r="H56" s="8"/>
      <c r="I56" s="8" t="s">
        <v>506</v>
      </c>
      <c r="J56" s="8"/>
      <c r="K56" s="8"/>
      <c r="L56" s="8">
        <v>5</v>
      </c>
      <c r="M56" s="8" t="s">
        <v>507</v>
      </c>
      <c r="N56" s="8" t="s">
        <v>508</v>
      </c>
      <c r="O56" s="8" t="s">
        <v>70</v>
      </c>
      <c r="P56" s="8" t="s">
        <v>33</v>
      </c>
      <c r="Q56" s="8"/>
      <c r="R56" s="8" t="s">
        <v>34</v>
      </c>
      <c r="S56" s="8" t="s">
        <v>509</v>
      </c>
    </row>
    <row r="57" spans="1:19" x14ac:dyDescent="0.3">
      <c r="A57" s="8" t="s">
        <v>510</v>
      </c>
      <c r="B57" s="8" t="s">
        <v>511</v>
      </c>
      <c r="C57" s="8" t="s">
        <v>512</v>
      </c>
      <c r="D57" s="8" t="s">
        <v>513</v>
      </c>
      <c r="E57" s="8">
        <v>2022</v>
      </c>
      <c r="F57" s="8" t="s">
        <v>124</v>
      </c>
      <c r="G57" s="8">
        <v>22</v>
      </c>
      <c r="H57" s="8">
        <v>24</v>
      </c>
      <c r="I57" s="8">
        <v>9878</v>
      </c>
      <c r="J57" s="8"/>
      <c r="K57" s="8"/>
      <c r="L57" s="8">
        <v>0</v>
      </c>
      <c r="M57" s="8" t="s">
        <v>514</v>
      </c>
      <c r="N57" s="8" t="s">
        <v>515</v>
      </c>
      <c r="O57" s="8" t="s">
        <v>32</v>
      </c>
      <c r="P57" s="8" t="s">
        <v>33</v>
      </c>
      <c r="Q57" s="8" t="s">
        <v>44</v>
      </c>
      <c r="R57" s="8" t="s">
        <v>34</v>
      </c>
      <c r="S57" s="8" t="s">
        <v>516</v>
      </c>
    </row>
    <row r="58" spans="1:19" x14ac:dyDescent="0.3">
      <c r="A58" s="8" t="s">
        <v>517</v>
      </c>
      <c r="B58" s="8" t="s">
        <v>518</v>
      </c>
      <c r="C58" s="8" t="s">
        <v>519</v>
      </c>
      <c r="D58" s="8" t="s">
        <v>520</v>
      </c>
      <c r="E58" s="8">
        <v>2024</v>
      </c>
      <c r="F58" s="8" t="s">
        <v>521</v>
      </c>
      <c r="G58" s="8">
        <v>134</v>
      </c>
      <c r="H58" s="8"/>
      <c r="I58" s="8">
        <v>108684</v>
      </c>
      <c r="J58" s="8"/>
      <c r="K58" s="8"/>
      <c r="L58" s="8">
        <v>33</v>
      </c>
      <c r="M58" s="8" t="s">
        <v>522</v>
      </c>
      <c r="N58" s="8" t="s">
        <v>523</v>
      </c>
      <c r="O58" s="8" t="s">
        <v>32</v>
      </c>
      <c r="P58" s="8" t="s">
        <v>33</v>
      </c>
      <c r="Q58" s="8"/>
      <c r="R58" s="8" t="s">
        <v>34</v>
      </c>
      <c r="S58" s="8" t="s">
        <v>524</v>
      </c>
    </row>
    <row r="59" spans="1:19" x14ac:dyDescent="0.3">
      <c r="A59" s="8" t="s">
        <v>525</v>
      </c>
      <c r="B59" s="8" t="s">
        <v>526</v>
      </c>
      <c r="C59" s="8" t="s">
        <v>527</v>
      </c>
      <c r="D59" s="8" t="s">
        <v>528</v>
      </c>
      <c r="E59" s="8">
        <v>2024</v>
      </c>
      <c r="F59" s="8" t="s">
        <v>529</v>
      </c>
      <c r="G59" s="8">
        <v>396</v>
      </c>
      <c r="H59" s="8"/>
      <c r="I59" s="8"/>
      <c r="J59" s="8">
        <v>565</v>
      </c>
      <c r="K59" s="8">
        <v>570</v>
      </c>
      <c r="L59" s="8">
        <v>1</v>
      </c>
      <c r="M59" s="8" t="s">
        <v>530</v>
      </c>
      <c r="N59" s="8" t="s">
        <v>531</v>
      </c>
      <c r="O59" s="8" t="s">
        <v>70</v>
      </c>
      <c r="P59" s="8" t="s">
        <v>33</v>
      </c>
      <c r="Q59" s="8" t="s">
        <v>532</v>
      </c>
      <c r="R59" s="8" t="s">
        <v>34</v>
      </c>
      <c r="S59" s="8" t="s">
        <v>533</v>
      </c>
    </row>
    <row r="60" spans="1:19" x14ac:dyDescent="0.3">
      <c r="A60" s="8"/>
      <c r="B60" s="8"/>
      <c r="C60" s="8"/>
      <c r="D60" s="8" t="s">
        <v>534</v>
      </c>
      <c r="E60" s="8">
        <v>2025</v>
      </c>
      <c r="F60" s="8" t="s">
        <v>535</v>
      </c>
      <c r="G60" s="8" t="s">
        <v>536</v>
      </c>
      <c r="H60" s="8"/>
      <c r="I60" s="8"/>
      <c r="J60" s="8"/>
      <c r="K60" s="8"/>
      <c r="L60" s="8">
        <v>0</v>
      </c>
      <c r="M60" s="8"/>
      <c r="N60" s="8" t="s">
        <v>537</v>
      </c>
      <c r="O60" s="8" t="s">
        <v>492</v>
      </c>
      <c r="P60" s="8" t="s">
        <v>33</v>
      </c>
      <c r="Q60" s="8"/>
      <c r="R60" s="8" t="s">
        <v>34</v>
      </c>
      <c r="S60" s="8" t="s">
        <v>538</v>
      </c>
    </row>
    <row r="61" spans="1:19" x14ac:dyDescent="0.3">
      <c r="A61" s="8" t="s">
        <v>137</v>
      </c>
      <c r="B61" s="8" t="s">
        <v>136</v>
      </c>
      <c r="C61" s="8" t="s">
        <v>135</v>
      </c>
      <c r="D61" s="8" t="s">
        <v>134</v>
      </c>
      <c r="E61" s="8">
        <v>2025</v>
      </c>
      <c r="F61" s="8" t="s">
        <v>133</v>
      </c>
      <c r="G61" s="8">
        <v>13</v>
      </c>
      <c r="H61" s="8">
        <v>11</v>
      </c>
      <c r="I61" s="8">
        <v>514</v>
      </c>
      <c r="J61" s="8"/>
      <c r="K61" s="8"/>
      <c r="L61" s="8">
        <v>1</v>
      </c>
      <c r="M61" s="8" t="s">
        <v>132</v>
      </c>
      <c r="N61" s="8" t="s">
        <v>131</v>
      </c>
      <c r="O61" s="8" t="s">
        <v>32</v>
      </c>
      <c r="P61" s="8" t="s">
        <v>33</v>
      </c>
      <c r="Q61" s="8" t="s">
        <v>44</v>
      </c>
      <c r="R61" s="8" t="s">
        <v>34</v>
      </c>
      <c r="S61" s="8" t="s">
        <v>130</v>
      </c>
    </row>
    <row r="62" spans="1:19" x14ac:dyDescent="0.3">
      <c r="A62" s="8" t="s">
        <v>539</v>
      </c>
      <c r="B62" s="8" t="s">
        <v>540</v>
      </c>
      <c r="C62" s="8" t="s">
        <v>541</v>
      </c>
      <c r="D62" s="8" t="s">
        <v>542</v>
      </c>
      <c r="E62" s="8">
        <v>2022</v>
      </c>
      <c r="F62" s="8" t="s">
        <v>124</v>
      </c>
      <c r="G62" s="8">
        <v>22</v>
      </c>
      <c r="H62" s="8">
        <v>20</v>
      </c>
      <c r="I62" s="8">
        <v>7863</v>
      </c>
      <c r="J62" s="8"/>
      <c r="K62" s="8"/>
      <c r="L62" s="8">
        <v>17</v>
      </c>
      <c r="M62" s="8" t="s">
        <v>543</v>
      </c>
      <c r="N62" s="8" t="s">
        <v>544</v>
      </c>
      <c r="O62" s="8" t="s">
        <v>32</v>
      </c>
      <c r="P62" s="8" t="s">
        <v>33</v>
      </c>
      <c r="Q62" s="8" t="s">
        <v>44</v>
      </c>
      <c r="R62" s="8" t="s">
        <v>34</v>
      </c>
      <c r="S62" s="8" t="s">
        <v>545</v>
      </c>
    </row>
    <row r="63" spans="1:19" x14ac:dyDescent="0.3">
      <c r="A63" s="8" t="s">
        <v>546</v>
      </c>
      <c r="B63" s="8" t="s">
        <v>547</v>
      </c>
      <c r="C63" s="8" t="s">
        <v>548</v>
      </c>
      <c r="D63" s="8" t="s">
        <v>549</v>
      </c>
      <c r="E63" s="8">
        <v>2023</v>
      </c>
      <c r="F63" s="8" t="s">
        <v>124</v>
      </c>
      <c r="G63" s="8">
        <v>23</v>
      </c>
      <c r="H63" s="8">
        <v>8</v>
      </c>
      <c r="I63" s="8">
        <v>3877</v>
      </c>
      <c r="J63" s="8"/>
      <c r="K63" s="8"/>
      <c r="L63" s="8">
        <v>2</v>
      </c>
      <c r="M63" s="8" t="s">
        <v>550</v>
      </c>
      <c r="N63" s="8" t="s">
        <v>551</v>
      </c>
      <c r="O63" s="8" t="s">
        <v>32</v>
      </c>
      <c r="P63" s="8" t="s">
        <v>33</v>
      </c>
      <c r="Q63" s="8" t="s">
        <v>44</v>
      </c>
      <c r="R63" s="8" t="s">
        <v>34</v>
      </c>
      <c r="S63" s="8" t="s">
        <v>552</v>
      </c>
    </row>
    <row r="64" spans="1:19" x14ac:dyDescent="0.3">
      <c r="A64" s="8" t="s">
        <v>553</v>
      </c>
      <c r="B64" s="8" t="s">
        <v>554</v>
      </c>
      <c r="C64" s="8" t="s">
        <v>555</v>
      </c>
      <c r="D64" s="8" t="s">
        <v>556</v>
      </c>
      <c r="E64" s="8">
        <v>2024</v>
      </c>
      <c r="F64" s="8" t="s">
        <v>557</v>
      </c>
      <c r="G64" s="8"/>
      <c r="H64" s="8"/>
      <c r="I64" s="8"/>
      <c r="J64" s="8"/>
      <c r="K64" s="8"/>
      <c r="L64" s="8">
        <v>2</v>
      </c>
      <c r="M64" s="8" t="s">
        <v>558</v>
      </c>
      <c r="N64" s="8" t="s">
        <v>559</v>
      </c>
      <c r="O64" s="8" t="s">
        <v>70</v>
      </c>
      <c r="P64" s="8" t="s">
        <v>33</v>
      </c>
      <c r="Q64" s="8"/>
      <c r="R64" s="8" t="s">
        <v>34</v>
      </c>
      <c r="S64" s="8" t="s">
        <v>560</v>
      </c>
    </row>
    <row r="65" spans="1:19" x14ac:dyDescent="0.3">
      <c r="A65" s="8" t="s">
        <v>561</v>
      </c>
      <c r="B65" s="8" t="s">
        <v>562</v>
      </c>
      <c r="C65" s="8" t="s">
        <v>563</v>
      </c>
      <c r="D65" s="8" t="s">
        <v>564</v>
      </c>
      <c r="E65" s="8">
        <v>2023</v>
      </c>
      <c r="F65" s="8" t="s">
        <v>565</v>
      </c>
      <c r="G65" s="8">
        <v>10</v>
      </c>
      <c r="H65" s="8"/>
      <c r="I65" s="8">
        <v>1218174</v>
      </c>
      <c r="J65" s="8"/>
      <c r="K65" s="8"/>
      <c r="L65" s="8">
        <v>3</v>
      </c>
      <c r="M65" s="8" t="s">
        <v>566</v>
      </c>
      <c r="N65" s="8" t="s">
        <v>567</v>
      </c>
      <c r="O65" s="8" t="s">
        <v>32</v>
      </c>
      <c r="P65" s="8" t="s">
        <v>33</v>
      </c>
      <c r="Q65" s="8" t="s">
        <v>44</v>
      </c>
      <c r="R65" s="8" t="s">
        <v>34</v>
      </c>
      <c r="S65" s="8" t="s">
        <v>568</v>
      </c>
    </row>
    <row r="66" spans="1:19" x14ac:dyDescent="0.3">
      <c r="A66" s="8" t="s">
        <v>569</v>
      </c>
      <c r="B66" s="8" t="s">
        <v>570</v>
      </c>
      <c r="C66" s="8" t="s">
        <v>571</v>
      </c>
      <c r="D66" s="8" t="s">
        <v>572</v>
      </c>
      <c r="E66" s="8">
        <v>2025</v>
      </c>
      <c r="F66" s="8" t="s">
        <v>301</v>
      </c>
      <c r="G66" s="8">
        <v>13654</v>
      </c>
      <c r="H66" s="8"/>
      <c r="I66" s="8" t="s">
        <v>573</v>
      </c>
      <c r="J66" s="8"/>
      <c r="K66" s="8"/>
      <c r="L66" s="8">
        <v>0</v>
      </c>
      <c r="M66" s="8" t="s">
        <v>574</v>
      </c>
      <c r="N66" s="8" t="s">
        <v>575</v>
      </c>
      <c r="O66" s="8" t="s">
        <v>70</v>
      </c>
      <c r="P66" s="8" t="s">
        <v>33</v>
      </c>
      <c r="Q66" s="8"/>
      <c r="R66" s="8" t="s">
        <v>34</v>
      </c>
      <c r="S66" s="8" t="s">
        <v>576</v>
      </c>
    </row>
    <row r="67" spans="1:19" x14ac:dyDescent="0.3">
      <c r="A67" s="8"/>
      <c r="B67" s="8"/>
      <c r="C67" s="8"/>
      <c r="D67" s="8" t="s">
        <v>534</v>
      </c>
      <c r="E67" s="8">
        <v>2025</v>
      </c>
      <c r="F67" s="8" t="s">
        <v>535</v>
      </c>
      <c r="G67" s="8" t="s">
        <v>577</v>
      </c>
      <c r="H67" s="8"/>
      <c r="I67" s="8"/>
      <c r="J67" s="8"/>
      <c r="K67" s="8"/>
      <c r="L67" s="8">
        <v>0</v>
      </c>
      <c r="M67" s="8"/>
      <c r="N67" s="8" t="s">
        <v>578</v>
      </c>
      <c r="O67" s="8" t="s">
        <v>492</v>
      </c>
      <c r="P67" s="8" t="s">
        <v>33</v>
      </c>
      <c r="Q67" s="8"/>
      <c r="R67" s="8" t="s">
        <v>34</v>
      </c>
      <c r="S67" s="8" t="s">
        <v>579</v>
      </c>
    </row>
    <row r="68" spans="1:19" x14ac:dyDescent="0.3">
      <c r="A68" s="8" t="s">
        <v>580</v>
      </c>
      <c r="B68" s="8" t="s">
        <v>581</v>
      </c>
      <c r="C68" s="8" t="s">
        <v>582</v>
      </c>
      <c r="D68" s="8" t="s">
        <v>583</v>
      </c>
      <c r="E68" s="8">
        <v>2023</v>
      </c>
      <c r="F68" s="8" t="s">
        <v>584</v>
      </c>
      <c r="G68" s="8">
        <v>11</v>
      </c>
      <c r="H68" s="8"/>
      <c r="I68" s="8"/>
      <c r="J68" s="8">
        <v>138759</v>
      </c>
      <c r="K68" s="8">
        <v>138772</v>
      </c>
      <c r="L68" s="8">
        <v>15</v>
      </c>
      <c r="M68" s="8" t="s">
        <v>585</v>
      </c>
      <c r="N68" s="8" t="s">
        <v>586</v>
      </c>
      <c r="O68" s="8" t="s">
        <v>32</v>
      </c>
      <c r="P68" s="8" t="s">
        <v>33</v>
      </c>
      <c r="Q68" s="8" t="s">
        <v>44</v>
      </c>
      <c r="R68" s="8" t="s">
        <v>34</v>
      </c>
      <c r="S68" s="8" t="s">
        <v>587</v>
      </c>
    </row>
    <row r="69" spans="1:19" x14ac:dyDescent="0.3">
      <c r="A69" s="8" t="s">
        <v>145</v>
      </c>
      <c r="B69" s="8" t="s">
        <v>144</v>
      </c>
      <c r="C69" s="8" t="s">
        <v>143</v>
      </c>
      <c r="D69" s="8" t="s">
        <v>142</v>
      </c>
      <c r="E69" s="8">
        <v>2026</v>
      </c>
      <c r="F69" s="8" t="s">
        <v>141</v>
      </c>
      <c r="G69" s="8"/>
      <c r="H69" s="8"/>
      <c r="I69" s="8"/>
      <c r="J69" s="8">
        <v>22</v>
      </c>
      <c r="K69" s="8">
        <v>29</v>
      </c>
      <c r="L69" s="8">
        <v>0</v>
      </c>
      <c r="M69" s="8" t="s">
        <v>140</v>
      </c>
      <c r="N69" s="8" t="s">
        <v>139</v>
      </c>
      <c r="O69" s="8" t="s">
        <v>70</v>
      </c>
      <c r="P69" s="8" t="s">
        <v>33</v>
      </c>
      <c r="Q69" s="8"/>
      <c r="R69" s="8" t="s">
        <v>34</v>
      </c>
      <c r="S69" s="8" t="s">
        <v>138</v>
      </c>
    </row>
    <row r="70" spans="1:19" x14ac:dyDescent="0.3">
      <c r="A70" s="8" t="s">
        <v>588</v>
      </c>
      <c r="B70" s="8" t="s">
        <v>589</v>
      </c>
      <c r="C70" s="8" t="s">
        <v>590</v>
      </c>
      <c r="D70" s="8" t="s">
        <v>591</v>
      </c>
      <c r="E70" s="8">
        <v>2025</v>
      </c>
      <c r="F70" s="8" t="s">
        <v>592</v>
      </c>
      <c r="G70" s="8"/>
      <c r="H70" s="8"/>
      <c r="I70" s="8"/>
      <c r="J70" s="8"/>
      <c r="K70" s="8"/>
      <c r="L70" s="8">
        <v>0</v>
      </c>
      <c r="M70" s="8" t="s">
        <v>593</v>
      </c>
      <c r="N70" s="8" t="s">
        <v>594</v>
      </c>
      <c r="O70" s="8" t="s">
        <v>70</v>
      </c>
      <c r="P70" s="8" t="s">
        <v>33</v>
      </c>
      <c r="Q70" s="8"/>
      <c r="R70" s="8" t="s">
        <v>34</v>
      </c>
      <c r="S70" s="8" t="s">
        <v>595</v>
      </c>
    </row>
    <row r="71" spans="1:19" x14ac:dyDescent="0.3">
      <c r="A71" s="8" t="s">
        <v>596</v>
      </c>
      <c r="B71" s="8" t="s">
        <v>597</v>
      </c>
      <c r="C71" s="8" t="s">
        <v>598</v>
      </c>
      <c r="D71" s="8" t="s">
        <v>599</v>
      </c>
      <c r="E71" s="8">
        <v>2025</v>
      </c>
      <c r="F71" s="8" t="s">
        <v>83</v>
      </c>
      <c r="G71" s="8">
        <v>17</v>
      </c>
      <c r="H71" s="8">
        <v>18</v>
      </c>
      <c r="I71" s="8">
        <v>8493</v>
      </c>
      <c r="J71" s="8"/>
      <c r="K71" s="8"/>
      <c r="L71" s="8">
        <v>1</v>
      </c>
      <c r="M71" s="8" t="s">
        <v>600</v>
      </c>
      <c r="N71" s="8" t="s">
        <v>601</v>
      </c>
      <c r="O71" s="8" t="s">
        <v>32</v>
      </c>
      <c r="P71" s="8" t="s">
        <v>33</v>
      </c>
      <c r="Q71" s="8" t="s">
        <v>44</v>
      </c>
      <c r="R71" s="8" t="s">
        <v>34</v>
      </c>
      <c r="S71" s="8" t="s">
        <v>602</v>
      </c>
    </row>
    <row r="72" spans="1:19" x14ac:dyDescent="0.3">
      <c r="A72" s="8" t="s">
        <v>603</v>
      </c>
      <c r="B72" s="8" t="s">
        <v>604</v>
      </c>
      <c r="C72" s="8" t="s">
        <v>605</v>
      </c>
      <c r="D72" s="8" t="s">
        <v>606</v>
      </c>
      <c r="E72" s="8">
        <v>2025</v>
      </c>
      <c r="F72" s="8" t="s">
        <v>301</v>
      </c>
      <c r="G72" s="8">
        <v>13733</v>
      </c>
      <c r="H72" s="8"/>
      <c r="I72" s="8" t="s">
        <v>607</v>
      </c>
      <c r="J72" s="8"/>
      <c r="K72" s="8"/>
      <c r="L72" s="8">
        <v>0</v>
      </c>
      <c r="M72" s="8" t="s">
        <v>608</v>
      </c>
      <c r="N72" s="8" t="s">
        <v>609</v>
      </c>
      <c r="O72" s="8" t="s">
        <v>70</v>
      </c>
      <c r="P72" s="8" t="s">
        <v>33</v>
      </c>
      <c r="Q72" s="8"/>
      <c r="R72" s="8" t="s">
        <v>34</v>
      </c>
      <c r="S72" s="8" t="s">
        <v>610</v>
      </c>
    </row>
    <row r="73" spans="1:19" x14ac:dyDescent="0.3">
      <c r="A73" s="8" t="s">
        <v>611</v>
      </c>
      <c r="B73" s="8" t="s">
        <v>612</v>
      </c>
      <c r="C73" s="8" t="s">
        <v>613</v>
      </c>
      <c r="D73" s="8" t="s">
        <v>614</v>
      </c>
      <c r="E73" s="8">
        <v>2024</v>
      </c>
      <c r="F73" s="8" t="s">
        <v>124</v>
      </c>
      <c r="G73" s="8">
        <v>24</v>
      </c>
      <c r="H73" s="8">
        <v>21</v>
      </c>
      <c r="I73" s="8">
        <v>6978</v>
      </c>
      <c r="J73" s="8"/>
      <c r="K73" s="8"/>
      <c r="L73" s="8">
        <v>2</v>
      </c>
      <c r="M73" s="8" t="s">
        <v>615</v>
      </c>
      <c r="N73" s="8" t="s">
        <v>616</v>
      </c>
      <c r="O73" s="8" t="s">
        <v>32</v>
      </c>
      <c r="P73" s="8" t="s">
        <v>33</v>
      </c>
      <c r="Q73" s="8" t="s">
        <v>44</v>
      </c>
      <c r="R73" s="8" t="s">
        <v>34</v>
      </c>
      <c r="S73" s="8" t="s">
        <v>617</v>
      </c>
    </row>
    <row r="74" spans="1:19" x14ac:dyDescent="0.3">
      <c r="A74" s="8" t="s">
        <v>469</v>
      </c>
      <c r="B74" s="8" t="s">
        <v>470</v>
      </c>
      <c r="C74" s="8" t="s">
        <v>471</v>
      </c>
      <c r="D74" s="8" t="s">
        <v>472</v>
      </c>
      <c r="E74" s="8">
        <v>2024</v>
      </c>
      <c r="F74" s="8" t="s">
        <v>618</v>
      </c>
      <c r="G74" s="8"/>
      <c r="H74" s="8"/>
      <c r="I74" s="8"/>
      <c r="J74" s="8"/>
      <c r="K74" s="8"/>
      <c r="L74" s="8">
        <v>2</v>
      </c>
      <c r="M74" s="8" t="s">
        <v>619</v>
      </c>
      <c r="N74" s="8" t="s">
        <v>620</v>
      </c>
      <c r="O74" s="8" t="s">
        <v>70</v>
      </c>
      <c r="P74" s="8" t="s">
        <v>33</v>
      </c>
      <c r="Q74" s="8"/>
      <c r="R74" s="8" t="s">
        <v>34</v>
      </c>
      <c r="S74" s="8" t="s">
        <v>621</v>
      </c>
    </row>
    <row r="75" spans="1:19" x14ac:dyDescent="0.3">
      <c r="A75" s="8" t="s">
        <v>622</v>
      </c>
      <c r="B75" s="8" t="s">
        <v>623</v>
      </c>
      <c r="C75" s="8" t="s">
        <v>624</v>
      </c>
      <c r="D75" s="8" t="s">
        <v>625</v>
      </c>
      <c r="E75" s="8">
        <v>2024</v>
      </c>
      <c r="F75" s="8" t="s">
        <v>626</v>
      </c>
      <c r="G75" s="8"/>
      <c r="H75" s="8"/>
      <c r="I75" s="8"/>
      <c r="J75" s="8"/>
      <c r="K75" s="8"/>
      <c r="L75" s="8">
        <v>0</v>
      </c>
      <c r="M75" s="8" t="s">
        <v>627</v>
      </c>
      <c r="N75" s="8" t="s">
        <v>628</v>
      </c>
      <c r="O75" s="8" t="s">
        <v>70</v>
      </c>
      <c r="P75" s="8" t="s">
        <v>33</v>
      </c>
      <c r="Q75" s="8"/>
      <c r="R75" s="8" t="s">
        <v>34</v>
      </c>
      <c r="S75" s="8" t="s">
        <v>629</v>
      </c>
    </row>
    <row r="76" spans="1:19" x14ac:dyDescent="0.3">
      <c r="A76" s="8" t="s">
        <v>153</v>
      </c>
      <c r="B76" s="8" t="s">
        <v>152</v>
      </c>
      <c r="C76" s="8" t="s">
        <v>151</v>
      </c>
      <c r="D76" s="8" t="s">
        <v>150</v>
      </c>
      <c r="E76" s="8">
        <v>2025</v>
      </c>
      <c r="F76" s="8" t="s">
        <v>149</v>
      </c>
      <c r="G76" s="8"/>
      <c r="H76" s="8"/>
      <c r="I76" s="8"/>
      <c r="J76" s="8">
        <v>391</v>
      </c>
      <c r="K76" s="8">
        <v>396</v>
      </c>
      <c r="L76" s="8">
        <v>0</v>
      </c>
      <c r="M76" s="8" t="s">
        <v>148</v>
      </c>
      <c r="N76" s="8" t="s">
        <v>147</v>
      </c>
      <c r="O76" s="8" t="s">
        <v>70</v>
      </c>
      <c r="P76" s="8" t="s">
        <v>33</v>
      </c>
      <c r="Q76" s="8"/>
      <c r="R76" s="8" t="s">
        <v>34</v>
      </c>
      <c r="S76" s="8" t="s">
        <v>146</v>
      </c>
    </row>
    <row r="77" spans="1:19" x14ac:dyDescent="0.3">
      <c r="A77" s="8" t="s">
        <v>630</v>
      </c>
      <c r="B77" s="8" t="s">
        <v>631</v>
      </c>
      <c r="C77" s="8" t="s">
        <v>632</v>
      </c>
      <c r="D77" s="8" t="s">
        <v>633</v>
      </c>
      <c r="E77" s="8">
        <v>2023</v>
      </c>
      <c r="F77" s="8" t="s">
        <v>634</v>
      </c>
      <c r="G77" s="8">
        <v>155</v>
      </c>
      <c r="H77" s="8"/>
      <c r="I77" s="8">
        <v>105223</v>
      </c>
      <c r="J77" s="8"/>
      <c r="K77" s="8"/>
      <c r="L77" s="8">
        <v>10</v>
      </c>
      <c r="M77" s="8" t="s">
        <v>635</v>
      </c>
      <c r="N77" s="8" t="s">
        <v>636</v>
      </c>
      <c r="O77" s="8" t="s">
        <v>32</v>
      </c>
      <c r="P77" s="8" t="s">
        <v>33</v>
      </c>
      <c r="Q77" s="8" t="s">
        <v>532</v>
      </c>
      <c r="R77" s="8" t="s">
        <v>34</v>
      </c>
      <c r="S77" s="8" t="s">
        <v>637</v>
      </c>
    </row>
    <row r="78" spans="1:19" x14ac:dyDescent="0.3">
      <c r="A78" s="8" t="s">
        <v>638</v>
      </c>
      <c r="B78" s="8" t="s">
        <v>639</v>
      </c>
      <c r="C78" s="8" t="s">
        <v>640</v>
      </c>
      <c r="D78" s="8" t="s">
        <v>641</v>
      </c>
      <c r="E78" s="8">
        <v>2025</v>
      </c>
      <c r="F78" s="8" t="s">
        <v>301</v>
      </c>
      <c r="G78" s="8">
        <v>13435</v>
      </c>
      <c r="H78" s="8"/>
      <c r="I78" s="8">
        <v>1343514</v>
      </c>
      <c r="J78" s="8"/>
      <c r="K78" s="8"/>
      <c r="L78" s="8">
        <v>0</v>
      </c>
      <c r="M78" s="8" t="s">
        <v>642</v>
      </c>
      <c r="N78" s="8" t="s">
        <v>643</v>
      </c>
      <c r="O78" s="8" t="s">
        <v>70</v>
      </c>
      <c r="P78" s="8" t="s">
        <v>33</v>
      </c>
      <c r="Q78" s="8"/>
      <c r="R78" s="8" t="s">
        <v>34</v>
      </c>
      <c r="S78" s="8" t="s">
        <v>644</v>
      </c>
    </row>
    <row r="79" spans="1:19" x14ac:dyDescent="0.3">
      <c r="A79" s="8" t="s">
        <v>645</v>
      </c>
      <c r="B79" s="8" t="s">
        <v>646</v>
      </c>
      <c r="C79" s="8" t="s">
        <v>647</v>
      </c>
      <c r="D79" s="8" t="s">
        <v>648</v>
      </c>
      <c r="E79" s="8">
        <v>2024</v>
      </c>
      <c r="F79" s="8" t="s">
        <v>649</v>
      </c>
      <c r="G79" s="8"/>
      <c r="H79" s="8"/>
      <c r="I79" s="8"/>
      <c r="J79" s="8"/>
      <c r="K79" s="8"/>
      <c r="L79" s="8">
        <v>1</v>
      </c>
      <c r="M79" s="8" t="s">
        <v>650</v>
      </c>
      <c r="N79" s="8" t="s">
        <v>651</v>
      </c>
      <c r="O79" s="8" t="s">
        <v>70</v>
      </c>
      <c r="P79" s="8" t="s">
        <v>33</v>
      </c>
      <c r="Q79" s="8"/>
      <c r="R79" s="8" t="s">
        <v>34</v>
      </c>
      <c r="S79" s="8" t="s">
        <v>652</v>
      </c>
    </row>
    <row r="80" spans="1:19" x14ac:dyDescent="0.3">
      <c r="A80" s="8" t="s">
        <v>653</v>
      </c>
      <c r="B80" s="8" t="s">
        <v>654</v>
      </c>
      <c r="C80" s="8" t="s">
        <v>655</v>
      </c>
      <c r="D80" s="8" t="s">
        <v>656</v>
      </c>
      <c r="E80" s="8">
        <v>2024</v>
      </c>
      <c r="F80" s="8" t="s">
        <v>657</v>
      </c>
      <c r="G80" s="8">
        <v>190</v>
      </c>
      <c r="H80" s="8"/>
      <c r="I80" s="8">
        <v>105625</v>
      </c>
      <c r="J80" s="8"/>
      <c r="K80" s="8"/>
      <c r="L80" s="8">
        <v>8</v>
      </c>
      <c r="M80" s="8" t="s">
        <v>658</v>
      </c>
      <c r="N80" s="8" t="s">
        <v>659</v>
      </c>
      <c r="O80" s="8" t="s">
        <v>32</v>
      </c>
      <c r="P80" s="8" t="s">
        <v>33</v>
      </c>
      <c r="Q80" s="8"/>
      <c r="R80" s="8" t="s">
        <v>34</v>
      </c>
      <c r="S80" s="8" t="s">
        <v>660</v>
      </c>
    </row>
    <row r="81" spans="1:19" x14ac:dyDescent="0.3">
      <c r="A81" s="8" t="s">
        <v>661</v>
      </c>
      <c r="B81" s="8" t="s">
        <v>662</v>
      </c>
      <c r="C81" s="8" t="s">
        <v>663</v>
      </c>
      <c r="D81" s="8" t="s">
        <v>664</v>
      </c>
      <c r="E81" s="8">
        <v>2024</v>
      </c>
      <c r="F81" s="8" t="s">
        <v>665</v>
      </c>
      <c r="G81" s="8"/>
      <c r="H81" s="8"/>
      <c r="I81" s="8"/>
      <c r="J81" s="8">
        <v>672</v>
      </c>
      <c r="K81" s="8">
        <v>677</v>
      </c>
      <c r="L81" s="8">
        <v>1</v>
      </c>
      <c r="M81" s="8" t="s">
        <v>666</v>
      </c>
      <c r="N81" s="8" t="s">
        <v>667</v>
      </c>
      <c r="O81" s="8" t="s">
        <v>70</v>
      </c>
      <c r="P81" s="8" t="s">
        <v>33</v>
      </c>
      <c r="Q81" s="8"/>
      <c r="R81" s="8" t="s">
        <v>34</v>
      </c>
      <c r="S81" s="8" t="s">
        <v>668</v>
      </c>
    </row>
    <row r="82" spans="1:19" x14ac:dyDescent="0.3">
      <c r="A82" s="8"/>
      <c r="B82" s="8"/>
      <c r="C82" s="8"/>
      <c r="D82" s="8" t="s">
        <v>669</v>
      </c>
      <c r="E82" s="8">
        <v>2025</v>
      </c>
      <c r="F82" s="8" t="s">
        <v>301</v>
      </c>
      <c r="G82" s="8">
        <v>13619</v>
      </c>
      <c r="H82" s="8"/>
      <c r="I82" s="8"/>
      <c r="J82" s="8"/>
      <c r="K82" s="8"/>
      <c r="L82" s="8">
        <v>0</v>
      </c>
      <c r="M82" s="8"/>
      <c r="N82" s="8" t="s">
        <v>670</v>
      </c>
      <c r="O82" s="8" t="s">
        <v>492</v>
      </c>
      <c r="P82" s="8" t="s">
        <v>33</v>
      </c>
      <c r="Q82" s="8"/>
      <c r="R82" s="8" t="s">
        <v>34</v>
      </c>
      <c r="S82" s="8" t="s">
        <v>671</v>
      </c>
    </row>
    <row r="83" spans="1:19" x14ac:dyDescent="0.3">
      <c r="A83" s="8" t="s">
        <v>917</v>
      </c>
      <c r="B83" s="8" t="s">
        <v>916</v>
      </c>
      <c r="C83" s="8" t="s">
        <v>915</v>
      </c>
      <c r="D83" s="8" t="s">
        <v>914</v>
      </c>
      <c r="E83" s="8">
        <v>2022</v>
      </c>
      <c r="F83" s="8" t="s">
        <v>894</v>
      </c>
      <c r="G83" s="8"/>
      <c r="H83" s="8"/>
      <c r="I83" s="8"/>
      <c r="J83" s="8">
        <v>147</v>
      </c>
      <c r="K83" s="8">
        <v>154</v>
      </c>
      <c r="L83" s="8">
        <v>1</v>
      </c>
      <c r="M83" s="8" t="s">
        <v>913</v>
      </c>
      <c r="N83" s="8" t="s">
        <v>912</v>
      </c>
      <c r="O83" s="8" t="s">
        <v>70</v>
      </c>
      <c r="P83" s="8" t="s">
        <v>33</v>
      </c>
      <c r="Q83" s="8"/>
      <c r="R83" s="8" t="s">
        <v>34</v>
      </c>
      <c r="S83" s="8" t="s">
        <v>911</v>
      </c>
    </row>
    <row r="84" spans="1:19" x14ac:dyDescent="0.3">
      <c r="A84" s="8" t="s">
        <v>910</v>
      </c>
      <c r="B84" s="8" t="s">
        <v>909</v>
      </c>
      <c r="C84" s="8" t="s">
        <v>908</v>
      </c>
      <c r="D84" s="8" t="s">
        <v>907</v>
      </c>
      <c r="E84" s="8">
        <v>2021</v>
      </c>
      <c r="F84" s="8" t="s">
        <v>906</v>
      </c>
      <c r="G84" s="8">
        <v>21</v>
      </c>
      <c r="H84" s="8">
        <v>3</v>
      </c>
      <c r="I84" s="8">
        <v>742</v>
      </c>
      <c r="J84" s="8">
        <v>1</v>
      </c>
      <c r="K84" s="8">
        <v>23</v>
      </c>
      <c r="L84" s="8">
        <v>240</v>
      </c>
      <c r="M84" s="8" t="s">
        <v>905</v>
      </c>
      <c r="N84" s="8" t="s">
        <v>904</v>
      </c>
      <c r="O84" s="8" t="s">
        <v>32</v>
      </c>
      <c r="P84" s="8" t="s">
        <v>33</v>
      </c>
      <c r="Q84" s="8" t="s">
        <v>44</v>
      </c>
      <c r="R84" s="8" t="s">
        <v>34</v>
      </c>
      <c r="S84" s="8" t="s">
        <v>903</v>
      </c>
    </row>
    <row r="85" spans="1:19" x14ac:dyDescent="0.3">
      <c r="A85" s="8" t="s">
        <v>686</v>
      </c>
      <c r="B85" s="8" t="s">
        <v>685</v>
      </c>
      <c r="C85" s="8" t="s">
        <v>684</v>
      </c>
      <c r="D85" s="8" t="s">
        <v>902</v>
      </c>
      <c r="E85" s="8">
        <v>2024</v>
      </c>
      <c r="F85" s="8" t="s">
        <v>124</v>
      </c>
      <c r="G85" s="8">
        <v>24</v>
      </c>
      <c r="H85" s="8">
        <v>2</v>
      </c>
      <c r="I85" s="8">
        <v>430</v>
      </c>
      <c r="J85" s="8"/>
      <c r="K85" s="8"/>
      <c r="L85" s="8">
        <v>8</v>
      </c>
      <c r="M85" s="8" t="s">
        <v>901</v>
      </c>
      <c r="N85" s="8" t="s">
        <v>900</v>
      </c>
      <c r="O85" s="8" t="s">
        <v>32</v>
      </c>
      <c r="P85" s="8" t="s">
        <v>33</v>
      </c>
      <c r="Q85" s="8" t="s">
        <v>44</v>
      </c>
      <c r="R85" s="8" t="s">
        <v>34</v>
      </c>
      <c r="S85" s="8" t="s">
        <v>899</v>
      </c>
    </row>
    <row r="86" spans="1:19" x14ac:dyDescent="0.3">
      <c r="A86" s="8" t="s">
        <v>898</v>
      </c>
      <c r="B86" s="8" t="s">
        <v>897</v>
      </c>
      <c r="C86" s="8" t="s">
        <v>896</v>
      </c>
      <c r="D86" s="8" t="s">
        <v>895</v>
      </c>
      <c r="E86" s="8">
        <v>2022</v>
      </c>
      <c r="F86" s="8" t="s">
        <v>894</v>
      </c>
      <c r="G86" s="8"/>
      <c r="H86" s="8"/>
      <c r="I86" s="8"/>
      <c r="J86" s="8">
        <v>169</v>
      </c>
      <c r="K86" s="8">
        <v>181</v>
      </c>
      <c r="L86" s="8">
        <v>0</v>
      </c>
      <c r="M86" s="8" t="s">
        <v>893</v>
      </c>
      <c r="N86" s="8" t="s">
        <v>892</v>
      </c>
      <c r="O86" s="8" t="s">
        <v>70</v>
      </c>
      <c r="P86" s="8" t="s">
        <v>33</v>
      </c>
      <c r="Q86" s="8"/>
      <c r="R86" s="8" t="s">
        <v>34</v>
      </c>
      <c r="S86" s="8" t="s">
        <v>891</v>
      </c>
    </row>
    <row r="87" spans="1:19" x14ac:dyDescent="0.3">
      <c r="A87" s="8" t="s">
        <v>194</v>
      </c>
      <c r="B87" s="8" t="s">
        <v>195</v>
      </c>
      <c r="C87" s="8" t="s">
        <v>196</v>
      </c>
      <c r="D87" s="8" t="s">
        <v>197</v>
      </c>
      <c r="E87" s="8">
        <v>2022</v>
      </c>
      <c r="F87" s="8" t="s">
        <v>198</v>
      </c>
      <c r="G87" s="8">
        <v>22</v>
      </c>
      <c r="H87" s="8">
        <v>3</v>
      </c>
      <c r="I87" s="8"/>
      <c r="J87" s="8">
        <v>610</v>
      </c>
      <c r="K87" s="8">
        <v>622</v>
      </c>
      <c r="L87" s="8">
        <v>2</v>
      </c>
      <c r="M87" s="8" t="s">
        <v>199</v>
      </c>
      <c r="N87" s="8" t="s">
        <v>200</v>
      </c>
      <c r="O87" s="8" t="s">
        <v>32</v>
      </c>
      <c r="P87" s="8" t="s">
        <v>33</v>
      </c>
      <c r="Q87" s="8" t="s">
        <v>44</v>
      </c>
      <c r="R87" s="8" t="s">
        <v>34</v>
      </c>
      <c r="S87" s="8" t="s">
        <v>201</v>
      </c>
    </row>
    <row r="88" spans="1:19" x14ac:dyDescent="0.3">
      <c r="A88" s="8" t="s">
        <v>210</v>
      </c>
      <c r="B88" s="8" t="s">
        <v>211</v>
      </c>
      <c r="C88" s="8" t="s">
        <v>212</v>
      </c>
      <c r="D88" s="8" t="s">
        <v>213</v>
      </c>
      <c r="E88" s="8">
        <v>2022</v>
      </c>
      <c r="F88" s="8" t="s">
        <v>124</v>
      </c>
      <c r="G88" s="8">
        <v>22</v>
      </c>
      <c r="H88" s="8">
        <v>17</v>
      </c>
      <c r="I88" s="8">
        <v>6491</v>
      </c>
      <c r="J88" s="8"/>
      <c r="K88" s="8"/>
      <c r="L88" s="8">
        <v>28</v>
      </c>
      <c r="M88" s="8" t="s">
        <v>214</v>
      </c>
      <c r="N88" s="8" t="s">
        <v>215</v>
      </c>
      <c r="O88" s="8" t="s">
        <v>32</v>
      </c>
      <c r="P88" s="8" t="s">
        <v>33</v>
      </c>
      <c r="Q88" s="8" t="s">
        <v>44</v>
      </c>
      <c r="R88" s="8" t="s">
        <v>34</v>
      </c>
      <c r="S88" s="8" t="s">
        <v>216</v>
      </c>
    </row>
    <row r="89" spans="1:19" x14ac:dyDescent="0.3">
      <c r="A89" s="8" t="s">
        <v>217</v>
      </c>
      <c r="B89" s="8" t="s">
        <v>218</v>
      </c>
      <c r="C89" s="8" t="s">
        <v>219</v>
      </c>
      <c r="D89" s="8" t="s">
        <v>220</v>
      </c>
      <c r="E89" s="8">
        <v>2021</v>
      </c>
      <c r="F89" s="8" t="s">
        <v>40</v>
      </c>
      <c r="G89" s="8">
        <v>11</v>
      </c>
      <c r="H89" s="8">
        <v>11</v>
      </c>
      <c r="I89" s="8">
        <v>4874</v>
      </c>
      <c r="J89" s="8"/>
      <c r="K89" s="8"/>
      <c r="L89" s="8">
        <v>17</v>
      </c>
      <c r="M89" s="8" t="s">
        <v>221</v>
      </c>
      <c r="N89" s="8" t="s">
        <v>222</v>
      </c>
      <c r="O89" s="8" t="s">
        <v>32</v>
      </c>
      <c r="P89" s="8" t="s">
        <v>33</v>
      </c>
      <c r="Q89" s="8" t="s">
        <v>44</v>
      </c>
      <c r="R89" s="8" t="s">
        <v>34</v>
      </c>
      <c r="S89" s="8" t="s">
        <v>223</v>
      </c>
    </row>
    <row r="90" spans="1:19" x14ac:dyDescent="0.3">
      <c r="A90" s="8" t="s">
        <v>890</v>
      </c>
      <c r="B90" s="8" t="s">
        <v>889</v>
      </c>
      <c r="C90" s="8" t="s">
        <v>888</v>
      </c>
      <c r="D90" s="8" t="s">
        <v>887</v>
      </c>
      <c r="E90" s="8">
        <v>2024</v>
      </c>
      <c r="F90" s="8" t="s">
        <v>886</v>
      </c>
      <c r="G90" s="8"/>
      <c r="H90" s="8"/>
      <c r="I90" s="8"/>
      <c r="J90" s="8">
        <v>140</v>
      </c>
      <c r="K90" s="8">
        <v>145</v>
      </c>
      <c r="L90" s="8">
        <v>1</v>
      </c>
      <c r="M90" s="8" t="s">
        <v>885</v>
      </c>
      <c r="N90" s="8" t="s">
        <v>884</v>
      </c>
      <c r="O90" s="8" t="s">
        <v>70</v>
      </c>
      <c r="P90" s="8" t="s">
        <v>33</v>
      </c>
      <c r="Q90" s="8"/>
      <c r="R90" s="8" t="s">
        <v>34</v>
      </c>
      <c r="S90" s="8" t="s">
        <v>883</v>
      </c>
    </row>
    <row r="91" spans="1:19" x14ac:dyDescent="0.3">
      <c r="A91" s="8" t="s">
        <v>882</v>
      </c>
      <c r="B91" s="8" t="s">
        <v>881</v>
      </c>
      <c r="C91" s="8" t="s">
        <v>880</v>
      </c>
      <c r="D91" s="8" t="s">
        <v>879</v>
      </c>
      <c r="E91" s="8">
        <v>2022</v>
      </c>
      <c r="F91" s="8" t="s">
        <v>675</v>
      </c>
      <c r="G91" s="8">
        <v>70</v>
      </c>
      <c r="H91" s="8">
        <v>9</v>
      </c>
      <c r="I91" s="8"/>
      <c r="J91" s="8">
        <v>777</v>
      </c>
      <c r="K91" s="8">
        <v>786</v>
      </c>
      <c r="L91" s="8">
        <v>11</v>
      </c>
      <c r="M91" s="8" t="s">
        <v>878</v>
      </c>
      <c r="N91" s="8" t="s">
        <v>877</v>
      </c>
      <c r="O91" s="8" t="s">
        <v>32</v>
      </c>
      <c r="P91" s="8" t="s">
        <v>33</v>
      </c>
      <c r="Q91" s="8" t="s">
        <v>280</v>
      </c>
      <c r="R91" s="8" t="s">
        <v>34</v>
      </c>
      <c r="S91" s="8" t="s">
        <v>876</v>
      </c>
    </row>
    <row r="92" spans="1:19" x14ac:dyDescent="0.3">
      <c r="A92" s="8" t="s">
        <v>875</v>
      </c>
      <c r="B92" s="8" t="s">
        <v>874</v>
      </c>
      <c r="C92" s="8" t="s">
        <v>873</v>
      </c>
      <c r="D92" s="8" t="s">
        <v>872</v>
      </c>
      <c r="E92" s="8">
        <v>2022</v>
      </c>
      <c r="F92" s="8" t="s">
        <v>871</v>
      </c>
      <c r="G92" s="8">
        <v>14</v>
      </c>
      <c r="H92" s="8">
        <v>1</v>
      </c>
      <c r="I92" s="8"/>
      <c r="J92" s="8">
        <v>51</v>
      </c>
      <c r="K92" s="8">
        <v>54</v>
      </c>
      <c r="L92" s="8">
        <v>9</v>
      </c>
      <c r="M92" s="8" t="s">
        <v>870</v>
      </c>
      <c r="N92" s="8" t="s">
        <v>869</v>
      </c>
      <c r="O92" s="8" t="s">
        <v>32</v>
      </c>
      <c r="P92" s="8" t="s">
        <v>33</v>
      </c>
      <c r="Q92" s="8" t="s">
        <v>403</v>
      </c>
      <c r="R92" s="8" t="s">
        <v>34</v>
      </c>
      <c r="S92" s="8" t="s">
        <v>868</v>
      </c>
    </row>
    <row r="93" spans="1:19" x14ac:dyDescent="0.3">
      <c r="A93" s="8" t="s">
        <v>867</v>
      </c>
      <c r="B93" s="8" t="s">
        <v>866</v>
      </c>
      <c r="C93" s="8" t="s">
        <v>865</v>
      </c>
      <c r="D93" s="8" t="s">
        <v>864</v>
      </c>
      <c r="E93" s="8">
        <v>2024</v>
      </c>
      <c r="F93" s="8" t="s">
        <v>863</v>
      </c>
      <c r="G93" s="8">
        <v>6</v>
      </c>
      <c r="H93" s="8">
        <v>4</v>
      </c>
      <c r="I93" s="8" t="s">
        <v>862</v>
      </c>
      <c r="J93" s="8"/>
      <c r="K93" s="8"/>
      <c r="L93" s="8">
        <v>0</v>
      </c>
      <c r="M93" s="8" t="s">
        <v>861</v>
      </c>
      <c r="N93" s="8" t="s">
        <v>860</v>
      </c>
      <c r="O93" s="8" t="s">
        <v>32</v>
      </c>
      <c r="P93" s="8" t="s">
        <v>33</v>
      </c>
      <c r="Q93" s="8" t="s">
        <v>44</v>
      </c>
      <c r="R93" s="8" t="s">
        <v>34</v>
      </c>
      <c r="S93" s="8" t="s">
        <v>859</v>
      </c>
    </row>
    <row r="94" spans="1:19" x14ac:dyDescent="0.3">
      <c r="A94" s="8" t="s">
        <v>858</v>
      </c>
      <c r="B94" s="8" t="s">
        <v>857</v>
      </c>
      <c r="C94" s="8" t="s">
        <v>856</v>
      </c>
      <c r="D94" s="8" t="s">
        <v>855</v>
      </c>
      <c r="E94" s="8">
        <v>2022</v>
      </c>
      <c r="F94" s="8" t="s">
        <v>854</v>
      </c>
      <c r="G94" s="8">
        <v>8</v>
      </c>
      <c r="H94" s="8"/>
      <c r="I94" s="8"/>
      <c r="J94" s="8">
        <v>57</v>
      </c>
      <c r="K94" s="8">
        <v>67</v>
      </c>
      <c r="L94" s="8">
        <v>0</v>
      </c>
      <c r="M94" s="8"/>
      <c r="N94" s="8" t="s">
        <v>853</v>
      </c>
      <c r="O94" s="8" t="s">
        <v>70</v>
      </c>
      <c r="P94" s="8" t="s">
        <v>33</v>
      </c>
      <c r="Q94" s="8"/>
      <c r="R94" s="8" t="s">
        <v>34</v>
      </c>
      <c r="S94" s="8" t="s">
        <v>852</v>
      </c>
    </row>
    <row r="95" spans="1:19" x14ac:dyDescent="0.3">
      <c r="A95" s="8" t="s">
        <v>851</v>
      </c>
      <c r="B95" s="8" t="s">
        <v>850</v>
      </c>
      <c r="C95" s="8" t="s">
        <v>849</v>
      </c>
      <c r="D95" s="8" t="s">
        <v>848</v>
      </c>
      <c r="E95" s="8">
        <v>2025</v>
      </c>
      <c r="F95" s="8" t="s">
        <v>760</v>
      </c>
      <c r="G95" s="8">
        <v>238</v>
      </c>
      <c r="H95" s="8"/>
      <c r="I95" s="8">
        <v>110809</v>
      </c>
      <c r="J95" s="8"/>
      <c r="K95" s="8"/>
      <c r="L95" s="8">
        <v>1</v>
      </c>
      <c r="M95" s="8" t="s">
        <v>847</v>
      </c>
      <c r="N95" s="8" t="s">
        <v>846</v>
      </c>
      <c r="O95" s="8" t="s">
        <v>32</v>
      </c>
      <c r="P95" s="8" t="s">
        <v>33</v>
      </c>
      <c r="Q95" s="8" t="s">
        <v>532</v>
      </c>
      <c r="R95" s="8" t="s">
        <v>34</v>
      </c>
      <c r="S95" s="8" t="s">
        <v>845</v>
      </c>
    </row>
    <row r="96" spans="1:19" x14ac:dyDescent="0.3">
      <c r="A96" s="8" t="s">
        <v>259</v>
      </c>
      <c r="B96" s="8" t="s">
        <v>260</v>
      </c>
      <c r="C96" s="8" t="s">
        <v>261</v>
      </c>
      <c r="D96" s="8" t="s">
        <v>262</v>
      </c>
      <c r="E96" s="8">
        <v>2023</v>
      </c>
      <c r="F96" s="8" t="s">
        <v>124</v>
      </c>
      <c r="G96" s="8">
        <v>23</v>
      </c>
      <c r="H96" s="8">
        <v>6</v>
      </c>
      <c r="I96" s="8">
        <v>3127</v>
      </c>
      <c r="J96" s="8"/>
      <c r="K96" s="8"/>
      <c r="L96" s="8">
        <v>30</v>
      </c>
      <c r="M96" s="8" t="s">
        <v>263</v>
      </c>
      <c r="N96" s="8" t="s">
        <v>264</v>
      </c>
      <c r="O96" s="8" t="s">
        <v>32</v>
      </c>
      <c r="P96" s="8" t="s">
        <v>33</v>
      </c>
      <c r="Q96" s="8" t="s">
        <v>44</v>
      </c>
      <c r="R96" s="8" t="s">
        <v>34</v>
      </c>
      <c r="S96" s="8" t="s">
        <v>265</v>
      </c>
    </row>
    <row r="97" spans="1:19" x14ac:dyDescent="0.3">
      <c r="A97" s="8" t="s">
        <v>844</v>
      </c>
      <c r="B97" s="8" t="s">
        <v>843</v>
      </c>
      <c r="C97" s="8" t="s">
        <v>842</v>
      </c>
      <c r="D97" s="8" t="s">
        <v>841</v>
      </c>
      <c r="E97" s="8">
        <v>2023</v>
      </c>
      <c r="F97" s="8" t="s">
        <v>840</v>
      </c>
      <c r="G97" s="8" t="s">
        <v>839</v>
      </c>
      <c r="H97" s="8"/>
      <c r="I97" s="8"/>
      <c r="J97" s="8">
        <v>189</v>
      </c>
      <c r="K97" s="8">
        <v>205</v>
      </c>
      <c r="L97" s="8">
        <v>6</v>
      </c>
      <c r="M97" s="8" t="s">
        <v>838</v>
      </c>
      <c r="N97" s="8" t="s">
        <v>837</v>
      </c>
      <c r="O97" s="8" t="s">
        <v>70</v>
      </c>
      <c r="P97" s="8" t="s">
        <v>33</v>
      </c>
      <c r="Q97" s="8"/>
      <c r="R97" s="8" t="s">
        <v>34</v>
      </c>
      <c r="S97" s="8" t="s">
        <v>836</v>
      </c>
    </row>
    <row r="98" spans="1:19" x14ac:dyDescent="0.3">
      <c r="A98" s="8" t="s">
        <v>835</v>
      </c>
      <c r="B98" s="8" t="s">
        <v>834</v>
      </c>
      <c r="C98" s="8" t="s">
        <v>833</v>
      </c>
      <c r="D98" s="8" t="s">
        <v>832</v>
      </c>
      <c r="E98" s="8">
        <v>2024</v>
      </c>
      <c r="F98" s="8" t="s">
        <v>246</v>
      </c>
      <c r="G98" s="8" t="s">
        <v>831</v>
      </c>
      <c r="H98" s="8"/>
      <c r="I98" s="8"/>
      <c r="J98" s="8">
        <v>242</v>
      </c>
      <c r="K98" s="8">
        <v>252</v>
      </c>
      <c r="L98" s="8">
        <v>7</v>
      </c>
      <c r="M98" s="8" t="s">
        <v>830</v>
      </c>
      <c r="N98" s="8" t="s">
        <v>829</v>
      </c>
      <c r="O98" s="8" t="s">
        <v>70</v>
      </c>
      <c r="P98" s="8" t="s">
        <v>33</v>
      </c>
      <c r="Q98" s="8"/>
      <c r="R98" s="8" t="s">
        <v>34</v>
      </c>
      <c r="S98" s="8" t="s">
        <v>828</v>
      </c>
    </row>
    <row r="99" spans="1:19" x14ac:dyDescent="0.3">
      <c r="A99" s="8" t="s">
        <v>827</v>
      </c>
      <c r="B99" s="8" t="s">
        <v>826</v>
      </c>
      <c r="C99" s="8" t="s">
        <v>825</v>
      </c>
      <c r="D99" s="8" t="s">
        <v>824</v>
      </c>
      <c r="E99" s="8">
        <v>2021</v>
      </c>
      <c r="F99" s="8" t="s">
        <v>584</v>
      </c>
      <c r="G99" s="8">
        <v>9</v>
      </c>
      <c r="H99" s="8"/>
      <c r="I99" s="8">
        <v>9511265</v>
      </c>
      <c r="J99" s="8">
        <v>115053</v>
      </c>
      <c r="K99" s="8">
        <v>115067</v>
      </c>
      <c r="L99" s="8">
        <v>25</v>
      </c>
      <c r="M99" s="8" t="s">
        <v>823</v>
      </c>
      <c r="N99" s="8" t="s">
        <v>822</v>
      </c>
      <c r="O99" s="8" t="s">
        <v>32</v>
      </c>
      <c r="P99" s="8" t="s">
        <v>33</v>
      </c>
      <c r="Q99" s="8" t="s">
        <v>44</v>
      </c>
      <c r="R99" s="8" t="s">
        <v>34</v>
      </c>
      <c r="S99" s="8" t="s">
        <v>821</v>
      </c>
    </row>
    <row r="100" spans="1:19" x14ac:dyDescent="0.3">
      <c r="A100" s="8" t="s">
        <v>820</v>
      </c>
      <c r="B100" s="8" t="s">
        <v>819</v>
      </c>
      <c r="C100" s="8" t="s">
        <v>818</v>
      </c>
      <c r="D100" s="8" t="s">
        <v>817</v>
      </c>
      <c r="E100" s="8">
        <v>2026</v>
      </c>
      <c r="F100" s="8" t="s">
        <v>816</v>
      </c>
      <c r="G100" s="8"/>
      <c r="H100" s="8"/>
      <c r="I100" s="8"/>
      <c r="J100" s="8"/>
      <c r="K100" s="8"/>
      <c r="L100" s="8">
        <v>0</v>
      </c>
      <c r="M100" s="8" t="s">
        <v>815</v>
      </c>
      <c r="N100" s="8" t="s">
        <v>814</v>
      </c>
      <c r="O100" s="8" t="s">
        <v>32</v>
      </c>
      <c r="P100" s="8" t="s">
        <v>813</v>
      </c>
      <c r="Q100" s="8" t="s">
        <v>44</v>
      </c>
      <c r="R100" s="8" t="s">
        <v>34</v>
      </c>
      <c r="S100" s="8" t="s">
        <v>812</v>
      </c>
    </row>
    <row r="101" spans="1:19" x14ac:dyDescent="0.3">
      <c r="A101" s="8" t="s">
        <v>811</v>
      </c>
      <c r="B101" s="8" t="s">
        <v>810</v>
      </c>
      <c r="C101" s="8" t="s">
        <v>809</v>
      </c>
      <c r="D101" s="8" t="s">
        <v>808</v>
      </c>
      <c r="E101" s="8">
        <v>2023</v>
      </c>
      <c r="F101" s="8" t="s">
        <v>807</v>
      </c>
      <c r="G101" s="8">
        <v>25</v>
      </c>
      <c r="H101" s="8">
        <v>2</v>
      </c>
      <c r="I101" s="8"/>
      <c r="J101" s="8">
        <v>160</v>
      </c>
      <c r="K101" s="8">
        <v>191</v>
      </c>
      <c r="L101" s="8">
        <v>12</v>
      </c>
      <c r="M101" s="8" t="s">
        <v>806</v>
      </c>
      <c r="N101" s="8" t="s">
        <v>805</v>
      </c>
      <c r="O101" s="8" t="s">
        <v>32</v>
      </c>
      <c r="P101" s="8" t="s">
        <v>33</v>
      </c>
      <c r="Q101" s="8" t="s">
        <v>280</v>
      </c>
      <c r="R101" s="8" t="s">
        <v>34</v>
      </c>
      <c r="S101" s="8" t="s">
        <v>804</v>
      </c>
    </row>
    <row r="102" spans="1:19" x14ac:dyDescent="0.3">
      <c r="A102" s="8" t="s">
        <v>338</v>
      </c>
      <c r="B102" s="8" t="s">
        <v>339</v>
      </c>
      <c r="C102" s="8" t="s">
        <v>340</v>
      </c>
      <c r="D102" s="8" t="s">
        <v>341</v>
      </c>
      <c r="E102" s="8">
        <v>2024</v>
      </c>
      <c r="F102" s="8" t="s">
        <v>124</v>
      </c>
      <c r="G102" s="8">
        <v>24</v>
      </c>
      <c r="H102" s="8">
        <v>1</v>
      </c>
      <c r="I102" s="8">
        <v>49</v>
      </c>
      <c r="J102" s="8"/>
      <c r="K102" s="8"/>
      <c r="L102" s="8">
        <v>8</v>
      </c>
      <c r="M102" s="8" t="s">
        <v>342</v>
      </c>
      <c r="N102" s="8" t="s">
        <v>343</v>
      </c>
      <c r="O102" s="8" t="s">
        <v>32</v>
      </c>
      <c r="P102" s="8" t="s">
        <v>33</v>
      </c>
      <c r="Q102" s="8" t="s">
        <v>44</v>
      </c>
      <c r="R102" s="8" t="s">
        <v>34</v>
      </c>
      <c r="S102" s="8" t="s">
        <v>344</v>
      </c>
    </row>
    <row r="103" spans="1:19" x14ac:dyDescent="0.3">
      <c r="A103" s="8" t="s">
        <v>803</v>
      </c>
      <c r="B103" s="8" t="s">
        <v>802</v>
      </c>
      <c r="C103" s="8" t="s">
        <v>801</v>
      </c>
      <c r="D103" s="8" t="s">
        <v>800</v>
      </c>
      <c r="E103" s="8">
        <v>2023</v>
      </c>
      <c r="F103" s="8" t="s">
        <v>799</v>
      </c>
      <c r="G103" s="8">
        <v>21</v>
      </c>
      <c r="H103" s="8">
        <v>3</v>
      </c>
      <c r="I103" s="8"/>
      <c r="J103" s="8">
        <v>399</v>
      </c>
      <c r="K103" s="8">
        <v>407</v>
      </c>
      <c r="L103" s="8">
        <v>4</v>
      </c>
      <c r="M103" s="8" t="s">
        <v>798</v>
      </c>
      <c r="N103" s="8" t="s">
        <v>797</v>
      </c>
      <c r="O103" s="8" t="s">
        <v>32</v>
      </c>
      <c r="P103" s="8" t="s">
        <v>33</v>
      </c>
      <c r="Q103" s="8"/>
      <c r="R103" s="8" t="s">
        <v>34</v>
      </c>
      <c r="S103" s="8" t="s">
        <v>796</v>
      </c>
    </row>
    <row r="104" spans="1:19" x14ac:dyDescent="0.3">
      <c r="A104" s="8" t="s">
        <v>379</v>
      </c>
      <c r="B104" s="8" t="s">
        <v>380</v>
      </c>
      <c r="C104" s="8" t="s">
        <v>381</v>
      </c>
      <c r="D104" s="8" t="s">
        <v>382</v>
      </c>
      <c r="E104" s="8">
        <v>2025</v>
      </c>
      <c r="F104" s="8" t="s">
        <v>383</v>
      </c>
      <c r="G104" s="8"/>
      <c r="H104" s="8"/>
      <c r="I104" s="8"/>
      <c r="J104" s="8"/>
      <c r="K104" s="8"/>
      <c r="L104" s="8">
        <v>0</v>
      </c>
      <c r="M104" s="8" t="s">
        <v>384</v>
      </c>
      <c r="N104" s="8" t="s">
        <v>385</v>
      </c>
      <c r="O104" s="8" t="s">
        <v>70</v>
      </c>
      <c r="P104" s="8" t="s">
        <v>33</v>
      </c>
      <c r="Q104" s="8"/>
      <c r="R104" s="8" t="s">
        <v>34</v>
      </c>
      <c r="S104" s="8" t="s">
        <v>386</v>
      </c>
    </row>
    <row r="105" spans="1:19" x14ac:dyDescent="0.3">
      <c r="A105" s="8" t="s">
        <v>795</v>
      </c>
      <c r="B105" s="8" t="s">
        <v>794</v>
      </c>
      <c r="C105" s="8" t="s">
        <v>793</v>
      </c>
      <c r="D105" s="8" t="s">
        <v>792</v>
      </c>
      <c r="E105" s="8">
        <v>2022</v>
      </c>
      <c r="F105" s="8" t="s">
        <v>791</v>
      </c>
      <c r="G105" s="8">
        <v>70</v>
      </c>
      <c r="H105" s="8">
        <v>3</v>
      </c>
      <c r="I105" s="8"/>
      <c r="J105" s="8">
        <v>5803</v>
      </c>
      <c r="K105" s="8">
        <v>5820</v>
      </c>
      <c r="L105" s="8">
        <v>16</v>
      </c>
      <c r="M105" s="8" t="s">
        <v>790</v>
      </c>
      <c r="N105" s="8" t="s">
        <v>789</v>
      </c>
      <c r="O105" s="8" t="s">
        <v>32</v>
      </c>
      <c r="P105" s="8" t="s">
        <v>33</v>
      </c>
      <c r="Q105" s="8" t="s">
        <v>61</v>
      </c>
      <c r="R105" s="8" t="s">
        <v>34</v>
      </c>
      <c r="S105" s="8" t="s">
        <v>788</v>
      </c>
    </row>
    <row r="106" spans="1:19" x14ac:dyDescent="0.3">
      <c r="A106" s="8" t="s">
        <v>787</v>
      </c>
      <c r="B106" s="8" t="s">
        <v>786</v>
      </c>
      <c r="C106" s="8" t="s">
        <v>785</v>
      </c>
      <c r="D106" s="8" t="s">
        <v>784</v>
      </c>
      <c r="E106" s="8">
        <v>2026</v>
      </c>
      <c r="F106" s="8" t="s">
        <v>783</v>
      </c>
      <c r="G106" s="8">
        <v>681</v>
      </c>
      <c r="H106" s="8"/>
      <c r="I106" s="8">
        <v>133273</v>
      </c>
      <c r="J106" s="8"/>
      <c r="K106" s="8"/>
      <c r="L106" s="8">
        <v>0</v>
      </c>
      <c r="M106" s="8" t="s">
        <v>782</v>
      </c>
      <c r="N106" s="8" t="s">
        <v>781</v>
      </c>
      <c r="O106" s="8" t="s">
        <v>32</v>
      </c>
      <c r="P106" s="8" t="s">
        <v>33</v>
      </c>
      <c r="Q106" s="8"/>
      <c r="R106" s="8" t="s">
        <v>34</v>
      </c>
      <c r="S106" s="8" t="s">
        <v>780</v>
      </c>
    </row>
    <row r="107" spans="1:19" x14ac:dyDescent="0.3">
      <c r="A107" s="8" t="s">
        <v>420</v>
      </c>
      <c r="B107" s="8" t="s">
        <v>421</v>
      </c>
      <c r="C107" s="8">
        <v>56110428300</v>
      </c>
      <c r="D107" s="8" t="s">
        <v>422</v>
      </c>
      <c r="E107" s="8">
        <v>2025</v>
      </c>
      <c r="F107" s="8" t="s">
        <v>423</v>
      </c>
      <c r="G107" s="8" t="s">
        <v>424</v>
      </c>
      <c r="H107" s="8"/>
      <c r="I107" s="8"/>
      <c r="J107" s="8">
        <v>199</v>
      </c>
      <c r="K107" s="8">
        <v>214</v>
      </c>
      <c r="L107" s="8">
        <v>0</v>
      </c>
      <c r="M107" s="8" t="s">
        <v>425</v>
      </c>
      <c r="N107" s="8" t="s">
        <v>426</v>
      </c>
      <c r="O107" s="8" t="s">
        <v>70</v>
      </c>
      <c r="P107" s="8" t="s">
        <v>33</v>
      </c>
      <c r="Q107" s="8"/>
      <c r="R107" s="8" t="s">
        <v>34</v>
      </c>
      <c r="S107" s="8" t="s">
        <v>427</v>
      </c>
    </row>
    <row r="108" spans="1:19" x14ac:dyDescent="0.3">
      <c r="A108" s="8" t="s">
        <v>779</v>
      </c>
      <c r="B108" s="8" t="s">
        <v>778</v>
      </c>
      <c r="C108" s="8" t="s">
        <v>777</v>
      </c>
      <c r="D108" s="8" t="s">
        <v>776</v>
      </c>
      <c r="E108" s="8">
        <v>2024</v>
      </c>
      <c r="F108" s="8" t="s">
        <v>775</v>
      </c>
      <c r="G108" s="8"/>
      <c r="H108" s="8"/>
      <c r="I108" s="8"/>
      <c r="J108" s="8">
        <v>5294</v>
      </c>
      <c r="K108" s="8">
        <v>5306</v>
      </c>
      <c r="L108" s="8">
        <v>0</v>
      </c>
      <c r="M108" s="8" t="s">
        <v>774</v>
      </c>
      <c r="N108" s="8" t="s">
        <v>773</v>
      </c>
      <c r="O108" s="8" t="s">
        <v>70</v>
      </c>
      <c r="P108" s="8" t="s">
        <v>33</v>
      </c>
      <c r="Q108" s="8"/>
      <c r="R108" s="8" t="s">
        <v>34</v>
      </c>
      <c r="S108" s="8" t="s">
        <v>772</v>
      </c>
    </row>
    <row r="109" spans="1:19" x14ac:dyDescent="0.3">
      <c r="A109" s="8" t="s">
        <v>128</v>
      </c>
      <c r="B109" s="8" t="s">
        <v>127</v>
      </c>
      <c r="C109" s="8" t="s">
        <v>126</v>
      </c>
      <c r="D109" s="8" t="s">
        <v>125</v>
      </c>
      <c r="E109" s="8">
        <v>2025</v>
      </c>
      <c r="F109" s="8" t="s">
        <v>124</v>
      </c>
      <c r="G109" s="8">
        <v>25</v>
      </c>
      <c r="H109" s="8">
        <v>13</v>
      </c>
      <c r="I109" s="8">
        <v>4180</v>
      </c>
      <c r="J109" s="8"/>
      <c r="K109" s="8"/>
      <c r="L109" s="8">
        <v>1</v>
      </c>
      <c r="M109" s="8" t="s">
        <v>123</v>
      </c>
      <c r="N109" s="8" t="s">
        <v>122</v>
      </c>
      <c r="O109" s="8" t="s">
        <v>32</v>
      </c>
      <c r="P109" s="8" t="s">
        <v>33</v>
      </c>
      <c r="Q109" s="8" t="s">
        <v>44</v>
      </c>
      <c r="R109" s="8" t="s">
        <v>34</v>
      </c>
      <c r="S109" s="8" t="s">
        <v>121</v>
      </c>
    </row>
    <row r="110" spans="1:19" x14ac:dyDescent="0.3">
      <c r="A110" s="8" t="s">
        <v>771</v>
      </c>
      <c r="B110" s="8" t="s">
        <v>770</v>
      </c>
      <c r="C110" s="8" t="s">
        <v>769</v>
      </c>
      <c r="D110" s="8" t="s">
        <v>768</v>
      </c>
      <c r="E110" s="8">
        <v>2021</v>
      </c>
      <c r="F110" s="8" t="s">
        <v>745</v>
      </c>
      <c r="G110" s="8">
        <v>25</v>
      </c>
      <c r="H110" s="8">
        <v>8</v>
      </c>
      <c r="I110" s="8">
        <v>9320555</v>
      </c>
      <c r="J110" s="8">
        <v>3230</v>
      </c>
      <c r="K110" s="8">
        <v>3239</v>
      </c>
      <c r="L110" s="8">
        <v>3</v>
      </c>
      <c r="M110" s="8" t="s">
        <v>767</v>
      </c>
      <c r="N110" s="8" t="s">
        <v>766</v>
      </c>
      <c r="O110" s="8" t="s">
        <v>32</v>
      </c>
      <c r="P110" s="8" t="s">
        <v>33</v>
      </c>
      <c r="Q110" s="8"/>
      <c r="R110" s="8" t="s">
        <v>34</v>
      </c>
      <c r="S110" s="8" t="s">
        <v>765</v>
      </c>
    </row>
    <row r="111" spans="1:19" x14ac:dyDescent="0.3">
      <c r="A111" s="8" t="s">
        <v>764</v>
      </c>
      <c r="B111" s="8" t="s">
        <v>763</v>
      </c>
      <c r="C111" s="8" t="s">
        <v>762</v>
      </c>
      <c r="D111" s="8" t="s">
        <v>761</v>
      </c>
      <c r="E111" s="8">
        <v>2025</v>
      </c>
      <c r="F111" s="8" t="s">
        <v>760</v>
      </c>
      <c r="G111" s="8">
        <v>234</v>
      </c>
      <c r="H111" s="8"/>
      <c r="I111" s="8">
        <v>110265</v>
      </c>
      <c r="J111" s="8"/>
      <c r="K111" s="8"/>
      <c r="L111" s="8">
        <v>5</v>
      </c>
      <c r="M111" s="8" t="s">
        <v>759</v>
      </c>
      <c r="N111" s="8" t="s">
        <v>758</v>
      </c>
      <c r="O111" s="8" t="s">
        <v>32</v>
      </c>
      <c r="P111" s="8" t="s">
        <v>33</v>
      </c>
      <c r="Q111" s="8" t="s">
        <v>532</v>
      </c>
      <c r="R111" s="8" t="s">
        <v>34</v>
      </c>
      <c r="S111" s="8" t="s">
        <v>757</v>
      </c>
    </row>
    <row r="112" spans="1:19" x14ac:dyDescent="0.3">
      <c r="A112" s="8" t="s">
        <v>756</v>
      </c>
      <c r="B112" s="8" t="s">
        <v>755</v>
      </c>
      <c r="C112" s="8" t="s">
        <v>754</v>
      </c>
      <c r="D112" s="8" t="s">
        <v>753</v>
      </c>
      <c r="E112" s="8">
        <v>2022</v>
      </c>
      <c r="F112" s="8" t="s">
        <v>439</v>
      </c>
      <c r="G112" s="8">
        <v>351</v>
      </c>
      <c r="H112" s="8"/>
      <c r="I112" s="8"/>
      <c r="J112" s="8">
        <v>669</v>
      </c>
      <c r="K112" s="8">
        <v>677</v>
      </c>
      <c r="L112" s="8">
        <v>0</v>
      </c>
      <c r="M112" s="8" t="s">
        <v>752</v>
      </c>
      <c r="N112" s="8" t="s">
        <v>751</v>
      </c>
      <c r="O112" s="8" t="s">
        <v>70</v>
      </c>
      <c r="P112" s="8" t="s">
        <v>33</v>
      </c>
      <c r="Q112" s="8"/>
      <c r="R112" s="8" t="s">
        <v>34</v>
      </c>
      <c r="S112" s="8" t="s">
        <v>750</v>
      </c>
    </row>
    <row r="113" spans="1:19" x14ac:dyDescent="0.3">
      <c r="A113" s="8" t="s">
        <v>502</v>
      </c>
      <c r="B113" s="8" t="s">
        <v>503</v>
      </c>
      <c r="C113" s="8" t="s">
        <v>504</v>
      </c>
      <c r="D113" s="8" t="s">
        <v>505</v>
      </c>
      <c r="E113" s="8">
        <v>2023</v>
      </c>
      <c r="F113" s="8" t="s">
        <v>301</v>
      </c>
      <c r="G113" s="8">
        <v>12532</v>
      </c>
      <c r="H113" s="8"/>
      <c r="I113" s="8" t="s">
        <v>506</v>
      </c>
      <c r="J113" s="8"/>
      <c r="K113" s="8"/>
      <c r="L113" s="8">
        <v>5</v>
      </c>
      <c r="M113" s="8" t="s">
        <v>507</v>
      </c>
      <c r="N113" s="8" t="s">
        <v>508</v>
      </c>
      <c r="O113" s="8" t="s">
        <v>70</v>
      </c>
      <c r="P113" s="8" t="s">
        <v>33</v>
      </c>
      <c r="Q113" s="8"/>
      <c r="R113" s="8" t="s">
        <v>34</v>
      </c>
      <c r="S113" s="8" t="s">
        <v>509</v>
      </c>
    </row>
    <row r="114" spans="1:19" x14ac:dyDescent="0.3">
      <c r="A114" s="8" t="s">
        <v>749</v>
      </c>
      <c r="B114" s="8" t="s">
        <v>748</v>
      </c>
      <c r="C114" s="8" t="s">
        <v>747</v>
      </c>
      <c r="D114" s="8" t="s">
        <v>746</v>
      </c>
      <c r="E114" s="8">
        <v>2024</v>
      </c>
      <c r="F114" s="8" t="s">
        <v>745</v>
      </c>
      <c r="G114" s="8">
        <v>28</v>
      </c>
      <c r="H114" s="8">
        <v>12</v>
      </c>
      <c r="I114" s="8"/>
      <c r="J114" s="8">
        <v>7251</v>
      </c>
      <c r="K114" s="8">
        <v>7262</v>
      </c>
      <c r="L114" s="8">
        <v>6</v>
      </c>
      <c r="M114" s="8" t="s">
        <v>744</v>
      </c>
      <c r="N114" s="8" t="s">
        <v>743</v>
      </c>
      <c r="O114" s="8" t="s">
        <v>32</v>
      </c>
      <c r="P114" s="8" t="s">
        <v>33</v>
      </c>
      <c r="Q114" s="8"/>
      <c r="R114" s="8" t="s">
        <v>34</v>
      </c>
      <c r="S114" s="8" t="s">
        <v>742</v>
      </c>
    </row>
    <row r="115" spans="1:19" x14ac:dyDescent="0.3">
      <c r="A115" s="8" t="s">
        <v>137</v>
      </c>
      <c r="B115" s="8" t="s">
        <v>136</v>
      </c>
      <c r="C115" s="8" t="s">
        <v>135</v>
      </c>
      <c r="D115" s="8" t="s">
        <v>134</v>
      </c>
      <c r="E115" s="8">
        <v>2025</v>
      </c>
      <c r="F115" s="8" t="s">
        <v>133</v>
      </c>
      <c r="G115" s="8">
        <v>13</v>
      </c>
      <c r="H115" s="8">
        <v>11</v>
      </c>
      <c r="I115" s="8">
        <v>514</v>
      </c>
      <c r="J115" s="8"/>
      <c r="K115" s="8"/>
      <c r="L115" s="8">
        <v>1</v>
      </c>
      <c r="M115" s="8" t="s">
        <v>132</v>
      </c>
      <c r="N115" s="8" t="s">
        <v>131</v>
      </c>
      <c r="O115" s="8" t="s">
        <v>32</v>
      </c>
      <c r="P115" s="8" t="s">
        <v>33</v>
      </c>
      <c r="Q115" s="8" t="s">
        <v>44</v>
      </c>
      <c r="R115" s="8" t="s">
        <v>34</v>
      </c>
      <c r="S115" s="8" t="s">
        <v>130</v>
      </c>
    </row>
    <row r="116" spans="1:19" x14ac:dyDescent="0.3">
      <c r="A116" s="8" t="s">
        <v>741</v>
      </c>
      <c r="B116" s="8" t="s">
        <v>740</v>
      </c>
      <c r="C116" s="8" t="s">
        <v>739</v>
      </c>
      <c r="D116" s="8" t="s">
        <v>738</v>
      </c>
      <c r="E116" s="8">
        <v>2024</v>
      </c>
      <c r="F116" s="8" t="s">
        <v>737</v>
      </c>
      <c r="G116" s="8">
        <v>352</v>
      </c>
      <c r="H116" s="8"/>
      <c r="I116" s="8"/>
      <c r="J116" s="8">
        <v>1481</v>
      </c>
      <c r="K116" s="8">
        <v>1489</v>
      </c>
      <c r="L116" s="8">
        <v>3</v>
      </c>
      <c r="M116" s="8" t="s">
        <v>736</v>
      </c>
      <c r="N116" s="8" t="s">
        <v>735</v>
      </c>
      <c r="O116" s="8" t="s">
        <v>70</v>
      </c>
      <c r="P116" s="8" t="s">
        <v>33</v>
      </c>
      <c r="Q116" s="8"/>
      <c r="R116" s="8" t="s">
        <v>34</v>
      </c>
      <c r="S116" s="8" t="s">
        <v>734</v>
      </c>
    </row>
    <row r="117" spans="1:19" x14ac:dyDescent="0.3">
      <c r="A117" s="8" t="s">
        <v>733</v>
      </c>
      <c r="B117" s="8" t="s">
        <v>732</v>
      </c>
      <c r="C117" s="8" t="s">
        <v>731</v>
      </c>
      <c r="D117" s="8" t="s">
        <v>730</v>
      </c>
      <c r="E117" s="8">
        <v>2023</v>
      </c>
      <c r="F117" s="8" t="s">
        <v>729</v>
      </c>
      <c r="G117" s="8"/>
      <c r="H117" s="8"/>
      <c r="I117" s="8"/>
      <c r="J117" s="8">
        <v>5324</v>
      </c>
      <c r="K117" s="8">
        <v>5331</v>
      </c>
      <c r="L117" s="8">
        <v>7</v>
      </c>
      <c r="M117" s="8" t="s">
        <v>728</v>
      </c>
      <c r="N117" s="8" t="s">
        <v>727</v>
      </c>
      <c r="O117" s="8" t="s">
        <v>70</v>
      </c>
      <c r="P117" s="8" t="s">
        <v>33</v>
      </c>
      <c r="Q117" s="8" t="s">
        <v>403</v>
      </c>
      <c r="R117" s="8" t="s">
        <v>34</v>
      </c>
      <c r="S117" s="8" t="s">
        <v>726</v>
      </c>
    </row>
    <row r="118" spans="1:19" x14ac:dyDescent="0.3">
      <c r="A118" s="8" t="s">
        <v>725</v>
      </c>
      <c r="B118" s="8" t="s">
        <v>724</v>
      </c>
      <c r="C118" s="8" t="s">
        <v>723</v>
      </c>
      <c r="D118" s="8" t="s">
        <v>722</v>
      </c>
      <c r="E118" s="8">
        <v>2025</v>
      </c>
      <c r="F118" s="8" t="s">
        <v>675</v>
      </c>
      <c r="G118" s="8">
        <v>73</v>
      </c>
      <c r="H118" s="8">
        <v>12</v>
      </c>
      <c r="I118" s="8"/>
      <c r="J118" s="8">
        <v>966</v>
      </c>
      <c r="K118" s="8">
        <v>976</v>
      </c>
      <c r="L118" s="8">
        <v>0</v>
      </c>
      <c r="M118" s="8" t="s">
        <v>721</v>
      </c>
      <c r="N118" s="8" t="s">
        <v>720</v>
      </c>
      <c r="O118" s="8" t="s">
        <v>32</v>
      </c>
      <c r="P118" s="8" t="s">
        <v>33</v>
      </c>
      <c r="Q118" s="8"/>
      <c r="R118" s="8" t="s">
        <v>34</v>
      </c>
      <c r="S118" s="8" t="s">
        <v>719</v>
      </c>
    </row>
    <row r="119" spans="1:19" x14ac:dyDescent="0.3">
      <c r="A119" s="8" t="s">
        <v>718</v>
      </c>
      <c r="B119" s="8" t="s">
        <v>717</v>
      </c>
      <c r="C119" s="8" t="s">
        <v>716</v>
      </c>
      <c r="D119" s="8" t="s">
        <v>715</v>
      </c>
      <c r="E119" s="8">
        <v>2024</v>
      </c>
      <c r="F119" s="8" t="s">
        <v>714</v>
      </c>
      <c r="G119" s="8">
        <v>94</v>
      </c>
      <c r="H119" s="8"/>
      <c r="I119" s="8">
        <v>106274</v>
      </c>
      <c r="J119" s="8"/>
      <c r="K119" s="8"/>
      <c r="L119" s="8">
        <v>4</v>
      </c>
      <c r="M119" s="8" t="s">
        <v>713</v>
      </c>
      <c r="N119" s="8" t="s">
        <v>712</v>
      </c>
      <c r="O119" s="8" t="s">
        <v>32</v>
      </c>
      <c r="P119" s="8" t="s">
        <v>33</v>
      </c>
      <c r="Q119" s="8" t="s">
        <v>280</v>
      </c>
      <c r="R119" s="8" t="s">
        <v>34</v>
      </c>
      <c r="S119" s="8" t="s">
        <v>711</v>
      </c>
    </row>
    <row r="120" spans="1:19" x14ac:dyDescent="0.3">
      <c r="A120" s="8" t="s">
        <v>145</v>
      </c>
      <c r="B120" s="8" t="s">
        <v>144</v>
      </c>
      <c r="C120" s="8" t="s">
        <v>143</v>
      </c>
      <c r="D120" s="8" t="s">
        <v>142</v>
      </c>
      <c r="E120" s="8">
        <v>2026</v>
      </c>
      <c r="F120" s="8" t="s">
        <v>141</v>
      </c>
      <c r="G120" s="8"/>
      <c r="H120" s="8"/>
      <c r="I120" s="8"/>
      <c r="J120" s="8">
        <v>22</v>
      </c>
      <c r="K120" s="8">
        <v>29</v>
      </c>
      <c r="L120" s="8">
        <v>0</v>
      </c>
      <c r="M120" s="8" t="s">
        <v>140</v>
      </c>
      <c r="N120" s="8" t="s">
        <v>139</v>
      </c>
      <c r="O120" s="8" t="s">
        <v>70</v>
      </c>
      <c r="P120" s="8" t="s">
        <v>33</v>
      </c>
      <c r="Q120" s="8"/>
      <c r="R120" s="8" t="s">
        <v>34</v>
      </c>
      <c r="S120" s="8" t="s">
        <v>138</v>
      </c>
    </row>
    <row r="121" spans="1:19" x14ac:dyDescent="0.3">
      <c r="A121" s="8" t="s">
        <v>710</v>
      </c>
      <c r="B121" s="8" t="s">
        <v>709</v>
      </c>
      <c r="C121" s="8" t="s">
        <v>708</v>
      </c>
      <c r="D121" s="8" t="s">
        <v>707</v>
      </c>
      <c r="E121" s="8">
        <v>2025</v>
      </c>
      <c r="F121" s="8" t="s">
        <v>706</v>
      </c>
      <c r="G121" s="8">
        <v>63</v>
      </c>
      <c r="H121" s="8">
        <v>5</v>
      </c>
      <c r="I121" s="8"/>
      <c r="J121" s="8">
        <v>1535</v>
      </c>
      <c r="K121" s="8">
        <v>1550</v>
      </c>
      <c r="L121" s="8">
        <v>2</v>
      </c>
      <c r="M121" s="8" t="s">
        <v>705</v>
      </c>
      <c r="N121" s="8" t="s">
        <v>704</v>
      </c>
      <c r="O121" s="8" t="s">
        <v>32</v>
      </c>
      <c r="P121" s="8" t="s">
        <v>33</v>
      </c>
      <c r="Q121" s="8"/>
      <c r="R121" s="8" t="s">
        <v>34</v>
      </c>
      <c r="S121" s="8" t="s">
        <v>703</v>
      </c>
    </row>
    <row r="122" spans="1:19" x14ac:dyDescent="0.3">
      <c r="A122" s="8" t="s">
        <v>702</v>
      </c>
      <c r="B122" s="8" t="s">
        <v>701</v>
      </c>
      <c r="C122" s="8" t="s">
        <v>700</v>
      </c>
      <c r="D122" s="8" t="s">
        <v>699</v>
      </c>
      <c r="E122" s="8">
        <v>2024</v>
      </c>
      <c r="F122" s="8" t="s">
        <v>698</v>
      </c>
      <c r="G122" s="8"/>
      <c r="H122" s="8"/>
      <c r="I122" s="8"/>
      <c r="J122" s="8"/>
      <c r="K122" s="8"/>
      <c r="L122" s="8">
        <v>1</v>
      </c>
      <c r="M122" s="8" t="s">
        <v>697</v>
      </c>
      <c r="N122" s="8" t="s">
        <v>696</v>
      </c>
      <c r="O122" s="8" t="s">
        <v>70</v>
      </c>
      <c r="P122" s="8" t="s">
        <v>33</v>
      </c>
      <c r="Q122" s="8"/>
      <c r="R122" s="8" t="s">
        <v>34</v>
      </c>
      <c r="S122" s="8" t="s">
        <v>695</v>
      </c>
    </row>
    <row r="123" spans="1:19" x14ac:dyDescent="0.3">
      <c r="A123" s="8" t="s">
        <v>694</v>
      </c>
      <c r="B123" s="8" t="s">
        <v>693</v>
      </c>
      <c r="C123" s="8" t="s">
        <v>692</v>
      </c>
      <c r="D123" s="8" t="s">
        <v>691</v>
      </c>
      <c r="E123" s="8">
        <v>2022</v>
      </c>
      <c r="F123" s="8" t="s">
        <v>690</v>
      </c>
      <c r="G123" s="8"/>
      <c r="H123" s="8"/>
      <c r="I123" s="8"/>
      <c r="J123" s="8"/>
      <c r="K123" s="8"/>
      <c r="L123" s="8">
        <v>11</v>
      </c>
      <c r="M123" s="8" t="s">
        <v>689</v>
      </c>
      <c r="N123" s="8" t="s">
        <v>688</v>
      </c>
      <c r="O123" s="8" t="s">
        <v>70</v>
      </c>
      <c r="P123" s="8" t="s">
        <v>33</v>
      </c>
      <c r="Q123" s="8"/>
      <c r="R123" s="8" t="s">
        <v>34</v>
      </c>
      <c r="S123" s="8" t="s">
        <v>687</v>
      </c>
    </row>
    <row r="124" spans="1:19" x14ac:dyDescent="0.3">
      <c r="A124" s="8" t="s">
        <v>153</v>
      </c>
      <c r="B124" s="8" t="s">
        <v>152</v>
      </c>
      <c r="C124" s="8" t="s">
        <v>151</v>
      </c>
      <c r="D124" s="8" t="s">
        <v>150</v>
      </c>
      <c r="E124" s="8">
        <v>2025</v>
      </c>
      <c r="F124" s="8" t="s">
        <v>149</v>
      </c>
      <c r="G124" s="8"/>
      <c r="H124" s="8"/>
      <c r="I124" s="8"/>
      <c r="J124" s="8">
        <v>391</v>
      </c>
      <c r="K124" s="8">
        <v>396</v>
      </c>
      <c r="L124" s="8">
        <v>0</v>
      </c>
      <c r="M124" s="8" t="s">
        <v>148</v>
      </c>
      <c r="N124" s="8" t="s">
        <v>147</v>
      </c>
      <c r="O124" s="8" t="s">
        <v>70</v>
      </c>
      <c r="P124" s="8" t="s">
        <v>33</v>
      </c>
      <c r="Q124" s="8"/>
      <c r="R124" s="8" t="s">
        <v>34</v>
      </c>
      <c r="S124" s="8" t="s">
        <v>146</v>
      </c>
    </row>
    <row r="125" spans="1:19" x14ac:dyDescent="0.3">
      <c r="A125" s="8" t="s">
        <v>686</v>
      </c>
      <c r="B125" s="8" t="s">
        <v>685</v>
      </c>
      <c r="C125" s="8" t="s">
        <v>684</v>
      </c>
      <c r="D125" s="8" t="s">
        <v>683</v>
      </c>
      <c r="E125" s="8">
        <v>2024</v>
      </c>
      <c r="F125" s="8" t="s">
        <v>124</v>
      </c>
      <c r="G125" s="8">
        <v>24</v>
      </c>
      <c r="H125" s="8">
        <v>19</v>
      </c>
      <c r="I125" s="8">
        <v>6314</v>
      </c>
      <c r="J125" s="8"/>
      <c r="K125" s="8"/>
      <c r="L125" s="8">
        <v>9</v>
      </c>
      <c r="M125" s="8" t="s">
        <v>682</v>
      </c>
      <c r="N125" s="8" t="s">
        <v>681</v>
      </c>
      <c r="O125" s="8" t="s">
        <v>32</v>
      </c>
      <c r="P125" s="8" t="s">
        <v>33</v>
      </c>
      <c r="Q125" s="8" t="s">
        <v>44</v>
      </c>
      <c r="R125" s="8" t="s">
        <v>34</v>
      </c>
      <c r="S125" s="8" t="s">
        <v>680</v>
      </c>
    </row>
    <row r="126" spans="1:19" x14ac:dyDescent="0.3">
      <c r="A126" s="8" t="s">
        <v>679</v>
      </c>
      <c r="B126" s="8" t="s">
        <v>678</v>
      </c>
      <c r="C126" s="8" t="s">
        <v>677</v>
      </c>
      <c r="D126" s="8" t="s">
        <v>676</v>
      </c>
      <c r="E126" s="8">
        <v>2022</v>
      </c>
      <c r="F126" s="8" t="s">
        <v>675</v>
      </c>
      <c r="G126" s="8">
        <v>70</v>
      </c>
      <c r="H126" s="8">
        <v>9</v>
      </c>
      <c r="I126" s="8"/>
      <c r="J126" s="8">
        <v>787</v>
      </c>
      <c r="K126" s="8">
        <v>792</v>
      </c>
      <c r="L126" s="8">
        <v>7</v>
      </c>
      <c r="M126" s="8" t="s">
        <v>674</v>
      </c>
      <c r="N126" s="8" t="s">
        <v>673</v>
      </c>
      <c r="O126" s="8" t="s">
        <v>32</v>
      </c>
      <c r="P126" s="8" t="s">
        <v>33</v>
      </c>
      <c r="Q126" s="8"/>
      <c r="R126" s="8" t="s">
        <v>34</v>
      </c>
      <c r="S126" s="8" t="s">
        <v>672</v>
      </c>
    </row>
    <row r="127" spans="1:19" x14ac:dyDescent="0.3">
      <c r="A127" s="8" t="s">
        <v>653</v>
      </c>
      <c r="B127" s="8" t="s">
        <v>654</v>
      </c>
      <c r="C127" s="8" t="s">
        <v>655</v>
      </c>
      <c r="D127" s="8" t="s">
        <v>656</v>
      </c>
      <c r="E127" s="8">
        <v>2024</v>
      </c>
      <c r="F127" s="8" t="s">
        <v>657</v>
      </c>
      <c r="G127" s="8">
        <v>190</v>
      </c>
      <c r="H127" s="8"/>
      <c r="I127" s="8">
        <v>105625</v>
      </c>
      <c r="J127" s="8"/>
      <c r="K127" s="8"/>
      <c r="L127" s="8">
        <v>8</v>
      </c>
      <c r="M127" s="8" t="s">
        <v>658</v>
      </c>
      <c r="N127" s="8" t="s">
        <v>659</v>
      </c>
      <c r="O127" s="8" t="s">
        <v>32</v>
      </c>
      <c r="P127" s="8" t="s">
        <v>33</v>
      </c>
      <c r="Q127" s="8"/>
      <c r="R127" s="8" t="s">
        <v>34</v>
      </c>
      <c r="S127" s="8" t="s">
        <v>660</v>
      </c>
    </row>
    <row r="128" spans="1:19" x14ac:dyDescent="0.3">
      <c r="A128" s="8" t="s">
        <v>917</v>
      </c>
      <c r="B128" s="8" t="s">
        <v>916</v>
      </c>
      <c r="C128" s="8" t="s">
        <v>915</v>
      </c>
      <c r="D128" s="8" t="s">
        <v>914</v>
      </c>
      <c r="E128" s="8">
        <v>2022</v>
      </c>
      <c r="F128" s="8" t="s">
        <v>894</v>
      </c>
      <c r="G128" s="8"/>
      <c r="H128" s="8"/>
      <c r="I128" s="8"/>
      <c r="J128" s="8">
        <v>147</v>
      </c>
      <c r="K128" s="8">
        <v>154</v>
      </c>
      <c r="L128" s="8">
        <v>1</v>
      </c>
      <c r="M128" s="8" t="s">
        <v>913</v>
      </c>
      <c r="N128" s="8" t="s">
        <v>912</v>
      </c>
      <c r="O128" s="8" t="s">
        <v>70</v>
      </c>
      <c r="P128" s="8" t="s">
        <v>33</v>
      </c>
      <c r="Q128" s="8"/>
      <c r="R128" s="8" t="s">
        <v>34</v>
      </c>
      <c r="S128" s="8" t="s">
        <v>911</v>
      </c>
    </row>
    <row r="129" spans="1:19" x14ac:dyDescent="0.3">
      <c r="A129" s="8" t="s">
        <v>910</v>
      </c>
      <c r="B129" s="8" t="s">
        <v>909</v>
      </c>
      <c r="C129" s="8" t="s">
        <v>908</v>
      </c>
      <c r="D129" s="8" t="s">
        <v>907</v>
      </c>
      <c r="E129" s="8">
        <v>2021</v>
      </c>
      <c r="F129" s="8" t="s">
        <v>906</v>
      </c>
      <c r="G129" s="8">
        <v>21</v>
      </c>
      <c r="H129" s="8">
        <v>3</v>
      </c>
      <c r="I129" s="8">
        <v>742</v>
      </c>
      <c r="J129" s="8">
        <v>1</v>
      </c>
      <c r="K129" s="8">
        <v>23</v>
      </c>
      <c r="L129" s="8">
        <v>240</v>
      </c>
      <c r="M129" s="8" t="s">
        <v>905</v>
      </c>
      <c r="N129" s="8" t="s">
        <v>904</v>
      </c>
      <c r="O129" s="8" t="s">
        <v>32</v>
      </c>
      <c r="P129" s="8" t="s">
        <v>33</v>
      </c>
      <c r="Q129" s="8" t="s">
        <v>44</v>
      </c>
      <c r="R129" s="8" t="s">
        <v>34</v>
      </c>
      <c r="S129" s="8" t="s">
        <v>903</v>
      </c>
    </row>
    <row r="130" spans="1:19" x14ac:dyDescent="0.3">
      <c r="A130" s="8" t="s">
        <v>686</v>
      </c>
      <c r="B130" s="8" t="s">
        <v>685</v>
      </c>
      <c r="C130" s="8" t="s">
        <v>684</v>
      </c>
      <c r="D130" s="8" t="s">
        <v>902</v>
      </c>
      <c r="E130" s="8">
        <v>2024</v>
      </c>
      <c r="F130" s="8" t="s">
        <v>124</v>
      </c>
      <c r="G130" s="8">
        <v>24</v>
      </c>
      <c r="H130" s="8">
        <v>2</v>
      </c>
      <c r="I130" s="8">
        <v>430</v>
      </c>
      <c r="J130" s="8"/>
      <c r="K130" s="8"/>
      <c r="L130" s="8">
        <v>8</v>
      </c>
      <c r="M130" s="8" t="s">
        <v>901</v>
      </c>
      <c r="N130" s="8" t="s">
        <v>900</v>
      </c>
      <c r="O130" s="8" t="s">
        <v>32</v>
      </c>
      <c r="P130" s="8" t="s">
        <v>33</v>
      </c>
      <c r="Q130" s="8" t="s">
        <v>44</v>
      </c>
      <c r="R130" s="8" t="s">
        <v>34</v>
      </c>
      <c r="S130" s="8" t="s">
        <v>899</v>
      </c>
    </row>
    <row r="131" spans="1:19" x14ac:dyDescent="0.3">
      <c r="A131" s="8" t="s">
        <v>898</v>
      </c>
      <c r="B131" s="8" t="s">
        <v>897</v>
      </c>
      <c r="C131" s="8" t="s">
        <v>896</v>
      </c>
      <c r="D131" s="8" t="s">
        <v>895</v>
      </c>
      <c r="E131" s="8">
        <v>2022</v>
      </c>
      <c r="F131" s="8" t="s">
        <v>894</v>
      </c>
      <c r="G131" s="8"/>
      <c r="H131" s="8"/>
      <c r="I131" s="8"/>
      <c r="J131" s="8">
        <v>169</v>
      </c>
      <c r="K131" s="8">
        <v>181</v>
      </c>
      <c r="L131" s="8">
        <v>0</v>
      </c>
      <c r="M131" s="8" t="s">
        <v>893</v>
      </c>
      <c r="N131" s="8" t="s">
        <v>892</v>
      </c>
      <c r="O131" s="8" t="s">
        <v>70</v>
      </c>
      <c r="P131" s="8" t="s">
        <v>33</v>
      </c>
      <c r="Q131" s="8"/>
      <c r="R131" s="8" t="s">
        <v>34</v>
      </c>
      <c r="S131" s="8" t="s">
        <v>891</v>
      </c>
    </row>
    <row r="132" spans="1:19" x14ac:dyDescent="0.3">
      <c r="A132" s="8" t="s">
        <v>194</v>
      </c>
      <c r="B132" s="8" t="s">
        <v>195</v>
      </c>
      <c r="C132" s="8" t="s">
        <v>196</v>
      </c>
      <c r="D132" s="8" t="s">
        <v>197</v>
      </c>
      <c r="E132" s="8">
        <v>2022</v>
      </c>
      <c r="F132" s="8" t="s">
        <v>198</v>
      </c>
      <c r="G132" s="8">
        <v>22</v>
      </c>
      <c r="H132" s="8">
        <v>3</v>
      </c>
      <c r="I132" s="8"/>
      <c r="J132" s="8">
        <v>610</v>
      </c>
      <c r="K132" s="8">
        <v>622</v>
      </c>
      <c r="L132" s="8">
        <v>2</v>
      </c>
      <c r="M132" s="8" t="s">
        <v>199</v>
      </c>
      <c r="N132" s="8" t="s">
        <v>200</v>
      </c>
      <c r="O132" s="8" t="s">
        <v>32</v>
      </c>
      <c r="P132" s="8" t="s">
        <v>33</v>
      </c>
      <c r="Q132" s="8" t="s">
        <v>44</v>
      </c>
      <c r="R132" s="8" t="s">
        <v>34</v>
      </c>
      <c r="S132" s="8" t="s">
        <v>201</v>
      </c>
    </row>
    <row r="133" spans="1:19" x14ac:dyDescent="0.3">
      <c r="A133" s="8" t="s">
        <v>210</v>
      </c>
      <c r="B133" s="8" t="s">
        <v>211</v>
      </c>
      <c r="C133" s="8" t="s">
        <v>212</v>
      </c>
      <c r="D133" s="8" t="s">
        <v>213</v>
      </c>
      <c r="E133" s="8">
        <v>2022</v>
      </c>
      <c r="F133" s="8" t="s">
        <v>124</v>
      </c>
      <c r="G133" s="8">
        <v>22</v>
      </c>
      <c r="H133" s="8">
        <v>17</v>
      </c>
      <c r="I133" s="8">
        <v>6491</v>
      </c>
      <c r="J133" s="8"/>
      <c r="K133" s="8"/>
      <c r="L133" s="8">
        <v>28</v>
      </c>
      <c r="M133" s="8" t="s">
        <v>214</v>
      </c>
      <c r="N133" s="8" t="s">
        <v>215</v>
      </c>
      <c r="O133" s="8" t="s">
        <v>32</v>
      </c>
      <c r="P133" s="8" t="s">
        <v>33</v>
      </c>
      <c r="Q133" s="8" t="s">
        <v>44</v>
      </c>
      <c r="R133" s="8" t="s">
        <v>34</v>
      </c>
      <c r="S133" s="8" t="s">
        <v>216</v>
      </c>
    </row>
    <row r="134" spans="1:19" x14ac:dyDescent="0.3">
      <c r="A134" s="8" t="s">
        <v>217</v>
      </c>
      <c r="B134" s="8" t="s">
        <v>218</v>
      </c>
      <c r="C134" s="8" t="s">
        <v>219</v>
      </c>
      <c r="D134" s="8" t="s">
        <v>220</v>
      </c>
      <c r="E134" s="8">
        <v>2021</v>
      </c>
      <c r="F134" s="8" t="s">
        <v>40</v>
      </c>
      <c r="G134" s="8">
        <v>11</v>
      </c>
      <c r="H134" s="8">
        <v>11</v>
      </c>
      <c r="I134" s="8">
        <v>4874</v>
      </c>
      <c r="J134" s="8"/>
      <c r="K134" s="8"/>
      <c r="L134" s="8">
        <v>17</v>
      </c>
      <c r="M134" s="8" t="s">
        <v>221</v>
      </c>
      <c r="N134" s="8" t="s">
        <v>222</v>
      </c>
      <c r="O134" s="8" t="s">
        <v>32</v>
      </c>
      <c r="P134" s="8" t="s">
        <v>33</v>
      </c>
      <c r="Q134" s="8" t="s">
        <v>44</v>
      </c>
      <c r="R134" s="8" t="s">
        <v>34</v>
      </c>
      <c r="S134" s="8" t="s">
        <v>223</v>
      </c>
    </row>
    <row r="135" spans="1:19" x14ac:dyDescent="0.3">
      <c r="A135" s="8" t="s">
        <v>890</v>
      </c>
      <c r="B135" s="8" t="s">
        <v>889</v>
      </c>
      <c r="C135" s="8" t="s">
        <v>888</v>
      </c>
      <c r="D135" s="8" t="s">
        <v>887</v>
      </c>
      <c r="E135" s="8">
        <v>2024</v>
      </c>
      <c r="F135" s="8" t="s">
        <v>886</v>
      </c>
      <c r="G135" s="8"/>
      <c r="H135" s="8"/>
      <c r="I135" s="8"/>
      <c r="J135" s="8">
        <v>140</v>
      </c>
      <c r="K135" s="8">
        <v>145</v>
      </c>
      <c r="L135" s="8">
        <v>1</v>
      </c>
      <c r="M135" s="8" t="s">
        <v>885</v>
      </c>
      <c r="N135" s="8" t="s">
        <v>884</v>
      </c>
      <c r="O135" s="8" t="s">
        <v>70</v>
      </c>
      <c r="P135" s="8" t="s">
        <v>33</v>
      </c>
      <c r="Q135" s="8"/>
      <c r="R135" s="8" t="s">
        <v>34</v>
      </c>
      <c r="S135" s="8" t="s">
        <v>883</v>
      </c>
    </row>
    <row r="136" spans="1:19" x14ac:dyDescent="0.3">
      <c r="A136" s="8" t="s">
        <v>882</v>
      </c>
      <c r="B136" s="8" t="s">
        <v>881</v>
      </c>
      <c r="C136" s="8" t="s">
        <v>880</v>
      </c>
      <c r="D136" s="8" t="s">
        <v>879</v>
      </c>
      <c r="E136" s="8">
        <v>2022</v>
      </c>
      <c r="F136" s="8" t="s">
        <v>675</v>
      </c>
      <c r="G136" s="8">
        <v>70</v>
      </c>
      <c r="H136" s="8">
        <v>9</v>
      </c>
      <c r="I136" s="8"/>
      <c r="J136" s="8">
        <v>777</v>
      </c>
      <c r="K136" s="8">
        <v>786</v>
      </c>
      <c r="L136" s="8">
        <v>11</v>
      </c>
      <c r="M136" s="8" t="s">
        <v>878</v>
      </c>
      <c r="N136" s="8" t="s">
        <v>877</v>
      </c>
      <c r="O136" s="8" t="s">
        <v>32</v>
      </c>
      <c r="P136" s="8" t="s">
        <v>33</v>
      </c>
      <c r="Q136" s="8" t="s">
        <v>280</v>
      </c>
      <c r="R136" s="8" t="s">
        <v>34</v>
      </c>
      <c r="S136" s="8" t="s">
        <v>876</v>
      </c>
    </row>
    <row r="137" spans="1:19" x14ac:dyDescent="0.3">
      <c r="A137" s="8" t="s">
        <v>875</v>
      </c>
      <c r="B137" s="8" t="s">
        <v>874</v>
      </c>
      <c r="C137" s="8" t="s">
        <v>873</v>
      </c>
      <c r="D137" s="8" t="s">
        <v>872</v>
      </c>
      <c r="E137" s="8">
        <v>2022</v>
      </c>
      <c r="F137" s="8" t="s">
        <v>871</v>
      </c>
      <c r="G137" s="8">
        <v>14</v>
      </c>
      <c r="H137" s="8">
        <v>1</v>
      </c>
      <c r="I137" s="8"/>
      <c r="J137" s="8">
        <v>51</v>
      </c>
      <c r="K137" s="8">
        <v>54</v>
      </c>
      <c r="L137" s="8">
        <v>9</v>
      </c>
      <c r="M137" s="8" t="s">
        <v>870</v>
      </c>
      <c r="N137" s="8" t="s">
        <v>869</v>
      </c>
      <c r="O137" s="8" t="s">
        <v>32</v>
      </c>
      <c r="P137" s="8" t="s">
        <v>33</v>
      </c>
      <c r="Q137" s="8" t="s">
        <v>403</v>
      </c>
      <c r="R137" s="8" t="s">
        <v>34</v>
      </c>
      <c r="S137" s="8" t="s">
        <v>868</v>
      </c>
    </row>
    <row r="138" spans="1:19" x14ac:dyDescent="0.3">
      <c r="A138" s="8" t="s">
        <v>867</v>
      </c>
      <c r="B138" s="8" t="s">
        <v>866</v>
      </c>
      <c r="C138" s="8" t="s">
        <v>865</v>
      </c>
      <c r="D138" s="8" t="s">
        <v>864</v>
      </c>
      <c r="E138" s="8">
        <v>2024</v>
      </c>
      <c r="F138" s="8" t="s">
        <v>863</v>
      </c>
      <c r="G138" s="8">
        <v>6</v>
      </c>
      <c r="H138" s="8">
        <v>4</v>
      </c>
      <c r="I138" s="8" t="s">
        <v>862</v>
      </c>
      <c r="J138" s="8"/>
      <c r="K138" s="8"/>
      <c r="L138" s="8">
        <v>0</v>
      </c>
      <c r="M138" s="8" t="s">
        <v>861</v>
      </c>
      <c r="N138" s="8" t="s">
        <v>860</v>
      </c>
      <c r="O138" s="8" t="s">
        <v>32</v>
      </c>
      <c r="P138" s="8" t="s">
        <v>33</v>
      </c>
      <c r="Q138" s="8" t="s">
        <v>44</v>
      </c>
      <c r="R138" s="8" t="s">
        <v>34</v>
      </c>
      <c r="S138" s="8" t="s">
        <v>859</v>
      </c>
    </row>
    <row r="139" spans="1:19" x14ac:dyDescent="0.3">
      <c r="A139" s="8" t="s">
        <v>858</v>
      </c>
      <c r="B139" s="8" t="s">
        <v>857</v>
      </c>
      <c r="C139" s="8" t="s">
        <v>856</v>
      </c>
      <c r="D139" s="8" t="s">
        <v>855</v>
      </c>
      <c r="E139" s="8">
        <v>2022</v>
      </c>
      <c r="F139" s="8" t="s">
        <v>854</v>
      </c>
      <c r="G139" s="8">
        <v>8</v>
      </c>
      <c r="H139" s="8"/>
      <c r="I139" s="8"/>
      <c r="J139" s="8">
        <v>57</v>
      </c>
      <c r="K139" s="8">
        <v>67</v>
      </c>
      <c r="L139" s="8">
        <v>0</v>
      </c>
      <c r="M139" s="8"/>
      <c r="N139" s="8" t="s">
        <v>853</v>
      </c>
      <c r="O139" s="8" t="s">
        <v>70</v>
      </c>
      <c r="P139" s="8" t="s">
        <v>33</v>
      </c>
      <c r="Q139" s="8"/>
      <c r="R139" s="8" t="s">
        <v>34</v>
      </c>
      <c r="S139" s="8" t="s">
        <v>852</v>
      </c>
    </row>
    <row r="140" spans="1:19" x14ac:dyDescent="0.3">
      <c r="A140" s="8" t="s">
        <v>851</v>
      </c>
      <c r="B140" s="8" t="s">
        <v>850</v>
      </c>
      <c r="C140" s="8" t="s">
        <v>849</v>
      </c>
      <c r="D140" s="8" t="s">
        <v>848</v>
      </c>
      <c r="E140" s="8">
        <v>2025</v>
      </c>
      <c r="F140" s="8" t="s">
        <v>760</v>
      </c>
      <c r="G140" s="8">
        <v>238</v>
      </c>
      <c r="H140" s="8"/>
      <c r="I140" s="8">
        <v>110809</v>
      </c>
      <c r="J140" s="8"/>
      <c r="K140" s="8"/>
      <c r="L140" s="8">
        <v>1</v>
      </c>
      <c r="M140" s="8" t="s">
        <v>847</v>
      </c>
      <c r="N140" s="8" t="s">
        <v>846</v>
      </c>
      <c r="O140" s="8" t="s">
        <v>32</v>
      </c>
      <c r="P140" s="8" t="s">
        <v>33</v>
      </c>
      <c r="Q140" s="8" t="s">
        <v>532</v>
      </c>
      <c r="R140" s="8" t="s">
        <v>34</v>
      </c>
      <c r="S140" s="8" t="s">
        <v>845</v>
      </c>
    </row>
    <row r="141" spans="1:19" x14ac:dyDescent="0.3">
      <c r="A141" s="8" t="s">
        <v>259</v>
      </c>
      <c r="B141" s="8" t="s">
        <v>260</v>
      </c>
      <c r="C141" s="8" t="s">
        <v>261</v>
      </c>
      <c r="D141" s="8" t="s">
        <v>262</v>
      </c>
      <c r="E141" s="8">
        <v>2023</v>
      </c>
      <c r="F141" s="8" t="s">
        <v>124</v>
      </c>
      <c r="G141" s="8">
        <v>23</v>
      </c>
      <c r="H141" s="8">
        <v>6</v>
      </c>
      <c r="I141" s="8">
        <v>3127</v>
      </c>
      <c r="J141" s="8"/>
      <c r="K141" s="8"/>
      <c r="L141" s="8">
        <v>30</v>
      </c>
      <c r="M141" s="8" t="s">
        <v>263</v>
      </c>
      <c r="N141" s="8" t="s">
        <v>264</v>
      </c>
      <c r="O141" s="8" t="s">
        <v>32</v>
      </c>
      <c r="P141" s="8" t="s">
        <v>33</v>
      </c>
      <c r="Q141" s="8" t="s">
        <v>44</v>
      </c>
      <c r="R141" s="8" t="s">
        <v>34</v>
      </c>
      <c r="S141" s="8" t="s">
        <v>265</v>
      </c>
    </row>
    <row r="142" spans="1:19" x14ac:dyDescent="0.3">
      <c r="A142" s="8" t="s">
        <v>844</v>
      </c>
      <c r="B142" s="8" t="s">
        <v>843</v>
      </c>
      <c r="C142" s="8" t="s">
        <v>842</v>
      </c>
      <c r="D142" s="8" t="s">
        <v>841</v>
      </c>
      <c r="E142" s="8">
        <v>2023</v>
      </c>
      <c r="F142" s="8" t="s">
        <v>840</v>
      </c>
      <c r="G142" s="8" t="s">
        <v>839</v>
      </c>
      <c r="H142" s="8"/>
      <c r="I142" s="8"/>
      <c r="J142" s="8">
        <v>189</v>
      </c>
      <c r="K142" s="8">
        <v>205</v>
      </c>
      <c r="L142" s="8">
        <v>6</v>
      </c>
      <c r="M142" s="8" t="s">
        <v>838</v>
      </c>
      <c r="N142" s="8" t="s">
        <v>837</v>
      </c>
      <c r="O142" s="8" t="s">
        <v>70</v>
      </c>
      <c r="P142" s="8" t="s">
        <v>33</v>
      </c>
      <c r="Q142" s="8"/>
      <c r="R142" s="8" t="s">
        <v>34</v>
      </c>
      <c r="S142" s="8" t="s">
        <v>836</v>
      </c>
    </row>
    <row r="143" spans="1:19" x14ac:dyDescent="0.3">
      <c r="A143" s="8" t="s">
        <v>835</v>
      </c>
      <c r="B143" s="8" t="s">
        <v>834</v>
      </c>
      <c r="C143" s="8" t="s">
        <v>833</v>
      </c>
      <c r="D143" s="8" t="s">
        <v>832</v>
      </c>
      <c r="E143" s="8">
        <v>2024</v>
      </c>
      <c r="F143" s="8" t="s">
        <v>246</v>
      </c>
      <c r="G143" s="8" t="s">
        <v>831</v>
      </c>
      <c r="H143" s="8"/>
      <c r="I143" s="8"/>
      <c r="J143" s="8">
        <v>242</v>
      </c>
      <c r="K143" s="8">
        <v>252</v>
      </c>
      <c r="L143" s="8">
        <v>7</v>
      </c>
      <c r="M143" s="8" t="s">
        <v>830</v>
      </c>
      <c r="N143" s="8" t="s">
        <v>829</v>
      </c>
      <c r="O143" s="8" t="s">
        <v>70</v>
      </c>
      <c r="P143" s="8" t="s">
        <v>33</v>
      </c>
      <c r="Q143" s="8"/>
      <c r="R143" s="8" t="s">
        <v>34</v>
      </c>
      <c r="S143" s="8" t="s">
        <v>828</v>
      </c>
    </row>
    <row r="144" spans="1:19" x14ac:dyDescent="0.3">
      <c r="A144" s="8" t="s">
        <v>827</v>
      </c>
      <c r="B144" s="8" t="s">
        <v>826</v>
      </c>
      <c r="C144" s="8" t="s">
        <v>825</v>
      </c>
      <c r="D144" s="8" t="s">
        <v>824</v>
      </c>
      <c r="E144" s="8">
        <v>2021</v>
      </c>
      <c r="F144" s="8" t="s">
        <v>584</v>
      </c>
      <c r="G144" s="8">
        <v>9</v>
      </c>
      <c r="H144" s="8"/>
      <c r="I144" s="8">
        <v>9511265</v>
      </c>
      <c r="J144" s="8">
        <v>115053</v>
      </c>
      <c r="K144" s="8">
        <v>115067</v>
      </c>
      <c r="L144" s="8">
        <v>25</v>
      </c>
      <c r="M144" s="8" t="s">
        <v>823</v>
      </c>
      <c r="N144" s="8" t="s">
        <v>822</v>
      </c>
      <c r="O144" s="8" t="s">
        <v>32</v>
      </c>
      <c r="P144" s="8" t="s">
        <v>33</v>
      </c>
      <c r="Q144" s="8" t="s">
        <v>44</v>
      </c>
      <c r="R144" s="8" t="s">
        <v>34</v>
      </c>
      <c r="S144" s="8" t="s">
        <v>821</v>
      </c>
    </row>
    <row r="145" spans="1:19" x14ac:dyDescent="0.3">
      <c r="A145" s="8" t="s">
        <v>820</v>
      </c>
      <c r="B145" s="8" t="s">
        <v>819</v>
      </c>
      <c r="C145" s="8" t="s">
        <v>818</v>
      </c>
      <c r="D145" s="8" t="s">
        <v>817</v>
      </c>
      <c r="E145" s="8">
        <v>2026</v>
      </c>
      <c r="F145" s="8" t="s">
        <v>816</v>
      </c>
      <c r="G145" s="8"/>
      <c r="H145" s="8"/>
      <c r="I145" s="8"/>
      <c r="J145" s="8"/>
      <c r="K145" s="8"/>
      <c r="L145" s="8">
        <v>0</v>
      </c>
      <c r="M145" s="8" t="s">
        <v>815</v>
      </c>
      <c r="N145" s="8" t="s">
        <v>814</v>
      </c>
      <c r="O145" s="8" t="s">
        <v>32</v>
      </c>
      <c r="P145" s="8" t="s">
        <v>813</v>
      </c>
      <c r="Q145" s="8" t="s">
        <v>44</v>
      </c>
      <c r="R145" s="8" t="s">
        <v>34</v>
      </c>
      <c r="S145" s="8" t="s">
        <v>812</v>
      </c>
    </row>
    <row r="146" spans="1:19" x14ac:dyDescent="0.3">
      <c r="A146" s="8" t="s">
        <v>811</v>
      </c>
      <c r="B146" s="8" t="s">
        <v>810</v>
      </c>
      <c r="C146" s="8" t="s">
        <v>809</v>
      </c>
      <c r="D146" s="8" t="s">
        <v>808</v>
      </c>
      <c r="E146" s="8">
        <v>2023</v>
      </c>
      <c r="F146" s="8" t="s">
        <v>807</v>
      </c>
      <c r="G146" s="8">
        <v>25</v>
      </c>
      <c r="H146" s="8">
        <v>2</v>
      </c>
      <c r="I146" s="8"/>
      <c r="J146" s="8">
        <v>160</v>
      </c>
      <c r="K146" s="8">
        <v>191</v>
      </c>
      <c r="L146" s="8">
        <v>12</v>
      </c>
      <c r="M146" s="8" t="s">
        <v>806</v>
      </c>
      <c r="N146" s="8" t="s">
        <v>805</v>
      </c>
      <c r="O146" s="8" t="s">
        <v>32</v>
      </c>
      <c r="P146" s="8" t="s">
        <v>33</v>
      </c>
      <c r="Q146" s="8" t="s">
        <v>280</v>
      </c>
      <c r="R146" s="8" t="s">
        <v>34</v>
      </c>
      <c r="S146" s="8" t="s">
        <v>804</v>
      </c>
    </row>
    <row r="147" spans="1:19" x14ac:dyDescent="0.3">
      <c r="A147" s="8" t="s">
        <v>338</v>
      </c>
      <c r="B147" s="8" t="s">
        <v>339</v>
      </c>
      <c r="C147" s="8" t="s">
        <v>340</v>
      </c>
      <c r="D147" s="8" t="s">
        <v>341</v>
      </c>
      <c r="E147" s="8">
        <v>2024</v>
      </c>
      <c r="F147" s="8" t="s">
        <v>124</v>
      </c>
      <c r="G147" s="8">
        <v>24</v>
      </c>
      <c r="H147" s="8">
        <v>1</v>
      </c>
      <c r="I147" s="8">
        <v>49</v>
      </c>
      <c r="J147" s="8"/>
      <c r="K147" s="8"/>
      <c r="L147" s="8">
        <v>8</v>
      </c>
      <c r="M147" s="8" t="s">
        <v>342</v>
      </c>
      <c r="N147" s="8" t="s">
        <v>343</v>
      </c>
      <c r="O147" s="8" t="s">
        <v>32</v>
      </c>
      <c r="P147" s="8" t="s">
        <v>33</v>
      </c>
      <c r="Q147" s="8" t="s">
        <v>44</v>
      </c>
      <c r="R147" s="8" t="s">
        <v>34</v>
      </c>
      <c r="S147" s="8" t="s">
        <v>344</v>
      </c>
    </row>
    <row r="148" spans="1:19" x14ac:dyDescent="0.3">
      <c r="A148" s="8" t="s">
        <v>803</v>
      </c>
      <c r="B148" s="8" t="s">
        <v>802</v>
      </c>
      <c r="C148" s="8" t="s">
        <v>801</v>
      </c>
      <c r="D148" s="8" t="s">
        <v>800</v>
      </c>
      <c r="E148" s="8">
        <v>2023</v>
      </c>
      <c r="F148" s="8" t="s">
        <v>799</v>
      </c>
      <c r="G148" s="8">
        <v>21</v>
      </c>
      <c r="H148" s="8">
        <v>3</v>
      </c>
      <c r="I148" s="8"/>
      <c r="J148" s="8">
        <v>399</v>
      </c>
      <c r="K148" s="8">
        <v>407</v>
      </c>
      <c r="L148" s="8">
        <v>4</v>
      </c>
      <c r="M148" s="8" t="s">
        <v>798</v>
      </c>
      <c r="N148" s="8" t="s">
        <v>797</v>
      </c>
      <c r="O148" s="8" t="s">
        <v>32</v>
      </c>
      <c r="P148" s="8" t="s">
        <v>33</v>
      </c>
      <c r="Q148" s="8"/>
      <c r="R148" s="8" t="s">
        <v>34</v>
      </c>
      <c r="S148" s="8" t="s">
        <v>796</v>
      </c>
    </row>
    <row r="149" spans="1:19" x14ac:dyDescent="0.3">
      <c r="A149" s="8" t="s">
        <v>379</v>
      </c>
      <c r="B149" s="8" t="s">
        <v>380</v>
      </c>
      <c r="C149" s="8" t="s">
        <v>381</v>
      </c>
      <c r="D149" s="8" t="s">
        <v>382</v>
      </c>
      <c r="E149" s="8">
        <v>2025</v>
      </c>
      <c r="F149" s="8" t="s">
        <v>383</v>
      </c>
      <c r="G149" s="8"/>
      <c r="H149" s="8"/>
      <c r="I149" s="8"/>
      <c r="J149" s="8"/>
      <c r="K149" s="8"/>
      <c r="L149" s="8">
        <v>0</v>
      </c>
      <c r="M149" s="8" t="s">
        <v>384</v>
      </c>
      <c r="N149" s="8" t="s">
        <v>385</v>
      </c>
      <c r="O149" s="8" t="s">
        <v>70</v>
      </c>
      <c r="P149" s="8" t="s">
        <v>33</v>
      </c>
      <c r="Q149" s="8"/>
      <c r="R149" s="8" t="s">
        <v>34</v>
      </c>
      <c r="S149" s="8" t="s">
        <v>386</v>
      </c>
    </row>
    <row r="150" spans="1:19" x14ac:dyDescent="0.3">
      <c r="A150" s="8" t="s">
        <v>795</v>
      </c>
      <c r="B150" s="8" t="s">
        <v>794</v>
      </c>
      <c r="C150" s="8" t="s">
        <v>793</v>
      </c>
      <c r="D150" s="8" t="s">
        <v>792</v>
      </c>
      <c r="E150" s="8">
        <v>2022</v>
      </c>
      <c r="F150" s="8" t="s">
        <v>791</v>
      </c>
      <c r="G150" s="8">
        <v>70</v>
      </c>
      <c r="H150" s="8">
        <v>3</v>
      </c>
      <c r="I150" s="8"/>
      <c r="J150" s="8">
        <v>5803</v>
      </c>
      <c r="K150" s="8">
        <v>5820</v>
      </c>
      <c r="L150" s="8">
        <v>16</v>
      </c>
      <c r="M150" s="8" t="s">
        <v>790</v>
      </c>
      <c r="N150" s="8" t="s">
        <v>789</v>
      </c>
      <c r="O150" s="8" t="s">
        <v>32</v>
      </c>
      <c r="P150" s="8" t="s">
        <v>33</v>
      </c>
      <c r="Q150" s="8" t="s">
        <v>61</v>
      </c>
      <c r="R150" s="8" t="s">
        <v>34</v>
      </c>
      <c r="S150" s="8" t="s">
        <v>788</v>
      </c>
    </row>
    <row r="151" spans="1:19" x14ac:dyDescent="0.3">
      <c r="A151" s="8" t="s">
        <v>787</v>
      </c>
      <c r="B151" s="8" t="s">
        <v>786</v>
      </c>
      <c r="C151" s="8" t="s">
        <v>785</v>
      </c>
      <c r="D151" s="8" t="s">
        <v>784</v>
      </c>
      <c r="E151" s="8">
        <v>2026</v>
      </c>
      <c r="F151" s="8" t="s">
        <v>783</v>
      </c>
      <c r="G151" s="8">
        <v>681</v>
      </c>
      <c r="H151" s="8"/>
      <c r="I151" s="8">
        <v>133273</v>
      </c>
      <c r="J151" s="8"/>
      <c r="K151" s="8"/>
      <c r="L151" s="8">
        <v>0</v>
      </c>
      <c r="M151" s="8" t="s">
        <v>782</v>
      </c>
      <c r="N151" s="8" t="s">
        <v>781</v>
      </c>
      <c r="O151" s="8" t="s">
        <v>32</v>
      </c>
      <c r="P151" s="8" t="s">
        <v>33</v>
      </c>
      <c r="Q151" s="8"/>
      <c r="R151" s="8" t="s">
        <v>34</v>
      </c>
      <c r="S151" s="8" t="s">
        <v>780</v>
      </c>
    </row>
    <row r="152" spans="1:19" x14ac:dyDescent="0.3">
      <c r="A152" s="8" t="s">
        <v>420</v>
      </c>
      <c r="B152" s="8" t="s">
        <v>421</v>
      </c>
      <c r="C152" s="8">
        <v>56110428300</v>
      </c>
      <c r="D152" s="8" t="s">
        <v>422</v>
      </c>
      <c r="E152" s="8">
        <v>2025</v>
      </c>
      <c r="F152" s="8" t="s">
        <v>423</v>
      </c>
      <c r="G152" s="8" t="s">
        <v>424</v>
      </c>
      <c r="H152" s="8"/>
      <c r="I152" s="8"/>
      <c r="J152" s="8">
        <v>199</v>
      </c>
      <c r="K152" s="8">
        <v>214</v>
      </c>
      <c r="L152" s="8">
        <v>0</v>
      </c>
      <c r="M152" s="8" t="s">
        <v>425</v>
      </c>
      <c r="N152" s="8" t="s">
        <v>426</v>
      </c>
      <c r="O152" s="8" t="s">
        <v>70</v>
      </c>
      <c r="P152" s="8" t="s">
        <v>33</v>
      </c>
      <c r="Q152" s="8"/>
      <c r="R152" s="8" t="s">
        <v>34</v>
      </c>
      <c r="S152" s="8" t="s">
        <v>427</v>
      </c>
    </row>
    <row r="153" spans="1:19" x14ac:dyDescent="0.3">
      <c r="A153" s="8" t="s">
        <v>779</v>
      </c>
      <c r="B153" s="8" t="s">
        <v>778</v>
      </c>
      <c r="C153" s="8" t="s">
        <v>777</v>
      </c>
      <c r="D153" s="8" t="s">
        <v>776</v>
      </c>
      <c r="E153" s="8">
        <v>2024</v>
      </c>
      <c r="F153" s="8" t="s">
        <v>775</v>
      </c>
      <c r="G153" s="8"/>
      <c r="H153" s="8"/>
      <c r="I153" s="8"/>
      <c r="J153" s="8">
        <v>5294</v>
      </c>
      <c r="K153" s="8">
        <v>5306</v>
      </c>
      <c r="L153" s="8">
        <v>0</v>
      </c>
      <c r="M153" s="8" t="s">
        <v>774</v>
      </c>
      <c r="N153" s="8" t="s">
        <v>773</v>
      </c>
      <c r="O153" s="8" t="s">
        <v>70</v>
      </c>
      <c r="P153" s="8" t="s">
        <v>33</v>
      </c>
      <c r="Q153" s="8"/>
      <c r="R153" s="8" t="s">
        <v>34</v>
      </c>
      <c r="S153" s="8" t="s">
        <v>772</v>
      </c>
    </row>
    <row r="154" spans="1:19" x14ac:dyDescent="0.3">
      <c r="A154" s="8" t="s">
        <v>128</v>
      </c>
      <c r="B154" s="8" t="s">
        <v>127</v>
      </c>
      <c r="C154" s="8" t="s">
        <v>126</v>
      </c>
      <c r="D154" s="8" t="s">
        <v>125</v>
      </c>
      <c r="E154" s="8">
        <v>2025</v>
      </c>
      <c r="F154" s="8" t="s">
        <v>124</v>
      </c>
      <c r="G154" s="8">
        <v>25</v>
      </c>
      <c r="H154" s="8">
        <v>13</v>
      </c>
      <c r="I154" s="8">
        <v>4180</v>
      </c>
      <c r="J154" s="8"/>
      <c r="K154" s="8"/>
      <c r="L154" s="8">
        <v>1</v>
      </c>
      <c r="M154" s="8" t="s">
        <v>123</v>
      </c>
      <c r="N154" s="8" t="s">
        <v>122</v>
      </c>
      <c r="O154" s="8" t="s">
        <v>32</v>
      </c>
      <c r="P154" s="8" t="s">
        <v>33</v>
      </c>
      <c r="Q154" s="8" t="s">
        <v>44</v>
      </c>
      <c r="R154" s="8" t="s">
        <v>34</v>
      </c>
      <c r="S154" s="8" t="s">
        <v>121</v>
      </c>
    </row>
    <row r="155" spans="1:19" x14ac:dyDescent="0.3">
      <c r="A155" s="8" t="s">
        <v>771</v>
      </c>
      <c r="B155" s="8" t="s">
        <v>770</v>
      </c>
      <c r="C155" s="8" t="s">
        <v>769</v>
      </c>
      <c r="D155" s="8" t="s">
        <v>768</v>
      </c>
      <c r="E155" s="8">
        <v>2021</v>
      </c>
      <c r="F155" s="8" t="s">
        <v>745</v>
      </c>
      <c r="G155" s="8">
        <v>25</v>
      </c>
      <c r="H155" s="8">
        <v>8</v>
      </c>
      <c r="I155" s="8">
        <v>9320555</v>
      </c>
      <c r="J155" s="8">
        <v>3230</v>
      </c>
      <c r="K155" s="8">
        <v>3239</v>
      </c>
      <c r="L155" s="8">
        <v>3</v>
      </c>
      <c r="M155" s="8" t="s">
        <v>767</v>
      </c>
      <c r="N155" s="8" t="s">
        <v>766</v>
      </c>
      <c r="O155" s="8" t="s">
        <v>32</v>
      </c>
      <c r="P155" s="8" t="s">
        <v>33</v>
      </c>
      <c r="Q155" s="8"/>
      <c r="R155" s="8" t="s">
        <v>34</v>
      </c>
      <c r="S155" s="8" t="s">
        <v>765</v>
      </c>
    </row>
    <row r="156" spans="1:19" x14ac:dyDescent="0.3">
      <c r="A156" s="8" t="s">
        <v>764</v>
      </c>
      <c r="B156" s="8" t="s">
        <v>763</v>
      </c>
      <c r="C156" s="8" t="s">
        <v>762</v>
      </c>
      <c r="D156" s="8" t="s">
        <v>761</v>
      </c>
      <c r="E156" s="8">
        <v>2025</v>
      </c>
      <c r="F156" s="8" t="s">
        <v>760</v>
      </c>
      <c r="G156" s="8">
        <v>234</v>
      </c>
      <c r="H156" s="8"/>
      <c r="I156" s="8">
        <v>110265</v>
      </c>
      <c r="J156" s="8"/>
      <c r="K156" s="8"/>
      <c r="L156" s="8">
        <v>5</v>
      </c>
      <c r="M156" s="8" t="s">
        <v>759</v>
      </c>
      <c r="N156" s="8" t="s">
        <v>758</v>
      </c>
      <c r="O156" s="8" t="s">
        <v>32</v>
      </c>
      <c r="P156" s="8" t="s">
        <v>33</v>
      </c>
      <c r="Q156" s="8" t="s">
        <v>532</v>
      </c>
      <c r="R156" s="8" t="s">
        <v>34</v>
      </c>
      <c r="S156" s="8" t="s">
        <v>757</v>
      </c>
    </row>
    <row r="157" spans="1:19" x14ac:dyDescent="0.3">
      <c r="A157" s="8" t="s">
        <v>756</v>
      </c>
      <c r="B157" s="8" t="s">
        <v>755</v>
      </c>
      <c r="C157" s="8" t="s">
        <v>754</v>
      </c>
      <c r="D157" s="8" t="s">
        <v>753</v>
      </c>
      <c r="E157" s="8">
        <v>2022</v>
      </c>
      <c r="F157" s="8" t="s">
        <v>439</v>
      </c>
      <c r="G157" s="8">
        <v>351</v>
      </c>
      <c r="H157" s="8"/>
      <c r="I157" s="8"/>
      <c r="J157" s="8">
        <v>669</v>
      </c>
      <c r="K157" s="8">
        <v>677</v>
      </c>
      <c r="L157" s="8">
        <v>0</v>
      </c>
      <c r="M157" s="8" t="s">
        <v>752</v>
      </c>
      <c r="N157" s="8" t="s">
        <v>751</v>
      </c>
      <c r="O157" s="8" t="s">
        <v>70</v>
      </c>
      <c r="P157" s="8" t="s">
        <v>33</v>
      </c>
      <c r="Q157" s="8"/>
      <c r="R157" s="8" t="s">
        <v>34</v>
      </c>
      <c r="S157" s="8" t="s">
        <v>750</v>
      </c>
    </row>
    <row r="158" spans="1:19" x14ac:dyDescent="0.3">
      <c r="A158" s="8" t="s">
        <v>502</v>
      </c>
      <c r="B158" s="8" t="s">
        <v>503</v>
      </c>
      <c r="C158" s="8" t="s">
        <v>504</v>
      </c>
      <c r="D158" s="8" t="s">
        <v>505</v>
      </c>
      <c r="E158" s="8">
        <v>2023</v>
      </c>
      <c r="F158" s="8" t="s">
        <v>301</v>
      </c>
      <c r="G158" s="8">
        <v>12532</v>
      </c>
      <c r="H158" s="8"/>
      <c r="I158" s="8" t="s">
        <v>506</v>
      </c>
      <c r="J158" s="8"/>
      <c r="K158" s="8"/>
      <c r="L158" s="8">
        <v>5</v>
      </c>
      <c r="M158" s="8" t="s">
        <v>507</v>
      </c>
      <c r="N158" s="8" t="s">
        <v>508</v>
      </c>
      <c r="O158" s="8" t="s">
        <v>70</v>
      </c>
      <c r="P158" s="8" t="s">
        <v>33</v>
      </c>
      <c r="Q158" s="8"/>
      <c r="R158" s="8" t="s">
        <v>34</v>
      </c>
      <c r="S158" s="8" t="s">
        <v>509</v>
      </c>
    </row>
    <row r="159" spans="1:19" x14ac:dyDescent="0.3">
      <c r="A159" s="8" t="s">
        <v>749</v>
      </c>
      <c r="B159" s="8" t="s">
        <v>748</v>
      </c>
      <c r="C159" s="8" t="s">
        <v>747</v>
      </c>
      <c r="D159" s="8" t="s">
        <v>746</v>
      </c>
      <c r="E159" s="8">
        <v>2024</v>
      </c>
      <c r="F159" s="8" t="s">
        <v>745</v>
      </c>
      <c r="G159" s="8">
        <v>28</v>
      </c>
      <c r="H159" s="8">
        <v>12</v>
      </c>
      <c r="I159" s="8"/>
      <c r="J159" s="8">
        <v>7251</v>
      </c>
      <c r="K159" s="8">
        <v>7262</v>
      </c>
      <c r="L159" s="8">
        <v>6</v>
      </c>
      <c r="M159" s="8" t="s">
        <v>744</v>
      </c>
      <c r="N159" s="8" t="s">
        <v>743</v>
      </c>
      <c r="O159" s="8" t="s">
        <v>32</v>
      </c>
      <c r="P159" s="8" t="s">
        <v>33</v>
      </c>
      <c r="Q159" s="8"/>
      <c r="R159" s="8" t="s">
        <v>34</v>
      </c>
      <c r="S159" s="8" t="s">
        <v>742</v>
      </c>
    </row>
    <row r="160" spans="1:19" x14ac:dyDescent="0.3">
      <c r="A160" s="8" t="s">
        <v>137</v>
      </c>
      <c r="B160" s="8" t="s">
        <v>136</v>
      </c>
      <c r="C160" s="8" t="s">
        <v>135</v>
      </c>
      <c r="D160" s="8" t="s">
        <v>134</v>
      </c>
      <c r="E160" s="8">
        <v>2025</v>
      </c>
      <c r="F160" s="8" t="s">
        <v>133</v>
      </c>
      <c r="G160" s="8">
        <v>13</v>
      </c>
      <c r="H160" s="8">
        <v>11</v>
      </c>
      <c r="I160" s="8">
        <v>514</v>
      </c>
      <c r="J160" s="8"/>
      <c r="K160" s="8"/>
      <c r="L160" s="8">
        <v>1</v>
      </c>
      <c r="M160" s="8" t="s">
        <v>132</v>
      </c>
      <c r="N160" s="8" t="s">
        <v>131</v>
      </c>
      <c r="O160" s="8" t="s">
        <v>32</v>
      </c>
      <c r="P160" s="8" t="s">
        <v>33</v>
      </c>
      <c r="Q160" s="8" t="s">
        <v>44</v>
      </c>
      <c r="R160" s="8" t="s">
        <v>34</v>
      </c>
      <c r="S160" s="8" t="s">
        <v>130</v>
      </c>
    </row>
    <row r="161" spans="1:19" x14ac:dyDescent="0.3">
      <c r="A161" s="8" t="s">
        <v>741</v>
      </c>
      <c r="B161" s="8" t="s">
        <v>740</v>
      </c>
      <c r="C161" s="8" t="s">
        <v>739</v>
      </c>
      <c r="D161" s="8" t="s">
        <v>738</v>
      </c>
      <c r="E161" s="8">
        <v>2024</v>
      </c>
      <c r="F161" s="8" t="s">
        <v>737</v>
      </c>
      <c r="G161" s="8">
        <v>352</v>
      </c>
      <c r="H161" s="8"/>
      <c r="I161" s="8"/>
      <c r="J161" s="8">
        <v>1481</v>
      </c>
      <c r="K161" s="8">
        <v>1489</v>
      </c>
      <c r="L161" s="8">
        <v>3</v>
      </c>
      <c r="M161" s="8" t="s">
        <v>736</v>
      </c>
      <c r="N161" s="8" t="s">
        <v>735</v>
      </c>
      <c r="O161" s="8" t="s">
        <v>70</v>
      </c>
      <c r="P161" s="8" t="s">
        <v>33</v>
      </c>
      <c r="Q161" s="8"/>
      <c r="R161" s="8" t="s">
        <v>34</v>
      </c>
      <c r="S161" s="8" t="s">
        <v>734</v>
      </c>
    </row>
    <row r="162" spans="1:19" x14ac:dyDescent="0.3">
      <c r="A162" s="8" t="s">
        <v>733</v>
      </c>
      <c r="B162" s="8" t="s">
        <v>732</v>
      </c>
      <c r="C162" s="8" t="s">
        <v>731</v>
      </c>
      <c r="D162" s="8" t="s">
        <v>730</v>
      </c>
      <c r="E162" s="8">
        <v>2023</v>
      </c>
      <c r="F162" s="8" t="s">
        <v>729</v>
      </c>
      <c r="G162" s="8"/>
      <c r="H162" s="8"/>
      <c r="I162" s="8"/>
      <c r="J162" s="8">
        <v>5324</v>
      </c>
      <c r="K162" s="8">
        <v>5331</v>
      </c>
      <c r="L162" s="8">
        <v>7</v>
      </c>
      <c r="M162" s="8" t="s">
        <v>728</v>
      </c>
      <c r="N162" s="8" t="s">
        <v>727</v>
      </c>
      <c r="O162" s="8" t="s">
        <v>70</v>
      </c>
      <c r="P162" s="8" t="s">
        <v>33</v>
      </c>
      <c r="Q162" s="8" t="s">
        <v>403</v>
      </c>
      <c r="R162" s="8" t="s">
        <v>34</v>
      </c>
      <c r="S162" s="8" t="s">
        <v>726</v>
      </c>
    </row>
    <row r="163" spans="1:19" x14ac:dyDescent="0.3">
      <c r="A163" s="8" t="s">
        <v>725</v>
      </c>
      <c r="B163" s="8" t="s">
        <v>724</v>
      </c>
      <c r="C163" s="8" t="s">
        <v>723</v>
      </c>
      <c r="D163" s="8" t="s">
        <v>722</v>
      </c>
      <c r="E163" s="8">
        <v>2025</v>
      </c>
      <c r="F163" s="8" t="s">
        <v>675</v>
      </c>
      <c r="G163" s="8">
        <v>73</v>
      </c>
      <c r="H163" s="8">
        <v>12</v>
      </c>
      <c r="I163" s="8"/>
      <c r="J163" s="8">
        <v>966</v>
      </c>
      <c r="K163" s="8">
        <v>976</v>
      </c>
      <c r="L163" s="8">
        <v>0</v>
      </c>
      <c r="M163" s="8" t="s">
        <v>721</v>
      </c>
      <c r="N163" s="8" t="s">
        <v>720</v>
      </c>
      <c r="O163" s="8" t="s">
        <v>32</v>
      </c>
      <c r="P163" s="8" t="s">
        <v>33</v>
      </c>
      <c r="Q163" s="8"/>
      <c r="R163" s="8" t="s">
        <v>34</v>
      </c>
      <c r="S163" s="8" t="s">
        <v>719</v>
      </c>
    </row>
    <row r="164" spans="1:19" x14ac:dyDescent="0.3">
      <c r="A164" s="8" t="s">
        <v>718</v>
      </c>
      <c r="B164" s="8" t="s">
        <v>717</v>
      </c>
      <c r="C164" s="8" t="s">
        <v>716</v>
      </c>
      <c r="D164" s="8" t="s">
        <v>715</v>
      </c>
      <c r="E164" s="8">
        <v>2024</v>
      </c>
      <c r="F164" s="8" t="s">
        <v>714</v>
      </c>
      <c r="G164" s="8">
        <v>94</v>
      </c>
      <c r="H164" s="8"/>
      <c r="I164" s="8">
        <v>106274</v>
      </c>
      <c r="J164" s="8"/>
      <c r="K164" s="8"/>
      <c r="L164" s="8">
        <v>4</v>
      </c>
      <c r="M164" s="8" t="s">
        <v>713</v>
      </c>
      <c r="N164" s="8" t="s">
        <v>712</v>
      </c>
      <c r="O164" s="8" t="s">
        <v>32</v>
      </c>
      <c r="P164" s="8" t="s">
        <v>33</v>
      </c>
      <c r="Q164" s="8" t="s">
        <v>280</v>
      </c>
      <c r="R164" s="8" t="s">
        <v>34</v>
      </c>
      <c r="S164" s="8" t="s">
        <v>711</v>
      </c>
    </row>
    <row r="165" spans="1:19" x14ac:dyDescent="0.3">
      <c r="A165" s="8" t="s">
        <v>145</v>
      </c>
      <c r="B165" s="8" t="s">
        <v>144</v>
      </c>
      <c r="C165" s="8" t="s">
        <v>143</v>
      </c>
      <c r="D165" s="8" t="s">
        <v>142</v>
      </c>
      <c r="E165" s="8">
        <v>2026</v>
      </c>
      <c r="F165" s="8" t="s">
        <v>141</v>
      </c>
      <c r="G165" s="8"/>
      <c r="H165" s="8"/>
      <c r="I165" s="8"/>
      <c r="J165" s="8">
        <v>22</v>
      </c>
      <c r="K165" s="8">
        <v>29</v>
      </c>
      <c r="L165" s="8">
        <v>0</v>
      </c>
      <c r="M165" s="8" t="s">
        <v>140</v>
      </c>
      <c r="N165" s="8" t="s">
        <v>139</v>
      </c>
      <c r="O165" s="8" t="s">
        <v>70</v>
      </c>
      <c r="P165" s="8" t="s">
        <v>33</v>
      </c>
      <c r="Q165" s="8"/>
      <c r="R165" s="8" t="s">
        <v>34</v>
      </c>
      <c r="S165" s="8" t="s">
        <v>138</v>
      </c>
    </row>
    <row r="166" spans="1:19" x14ac:dyDescent="0.3">
      <c r="A166" s="8" t="s">
        <v>710</v>
      </c>
      <c r="B166" s="8" t="s">
        <v>709</v>
      </c>
      <c r="C166" s="8" t="s">
        <v>708</v>
      </c>
      <c r="D166" s="8" t="s">
        <v>707</v>
      </c>
      <c r="E166" s="8">
        <v>2025</v>
      </c>
      <c r="F166" s="8" t="s">
        <v>706</v>
      </c>
      <c r="G166" s="8">
        <v>63</v>
      </c>
      <c r="H166" s="8">
        <v>5</v>
      </c>
      <c r="I166" s="8"/>
      <c r="J166" s="8">
        <v>1535</v>
      </c>
      <c r="K166" s="8">
        <v>1550</v>
      </c>
      <c r="L166" s="8">
        <v>2</v>
      </c>
      <c r="M166" s="8" t="s">
        <v>705</v>
      </c>
      <c r="N166" s="8" t="s">
        <v>704</v>
      </c>
      <c r="O166" s="8" t="s">
        <v>32</v>
      </c>
      <c r="P166" s="8" t="s">
        <v>33</v>
      </c>
      <c r="Q166" s="8"/>
      <c r="R166" s="8" t="s">
        <v>34</v>
      </c>
      <c r="S166" s="8" t="s">
        <v>703</v>
      </c>
    </row>
    <row r="167" spans="1:19" x14ac:dyDescent="0.3">
      <c r="A167" s="8" t="s">
        <v>702</v>
      </c>
      <c r="B167" s="8" t="s">
        <v>701</v>
      </c>
      <c r="C167" s="8" t="s">
        <v>700</v>
      </c>
      <c r="D167" s="8" t="s">
        <v>699</v>
      </c>
      <c r="E167" s="8">
        <v>2024</v>
      </c>
      <c r="F167" s="8" t="s">
        <v>698</v>
      </c>
      <c r="G167" s="8"/>
      <c r="H167" s="8"/>
      <c r="I167" s="8"/>
      <c r="J167" s="8"/>
      <c r="K167" s="8"/>
      <c r="L167" s="8">
        <v>1</v>
      </c>
      <c r="M167" s="8" t="s">
        <v>697</v>
      </c>
      <c r="N167" s="8" t="s">
        <v>696</v>
      </c>
      <c r="O167" s="8" t="s">
        <v>70</v>
      </c>
      <c r="P167" s="8" t="s">
        <v>33</v>
      </c>
      <c r="Q167" s="8"/>
      <c r="R167" s="8" t="s">
        <v>34</v>
      </c>
      <c r="S167" s="8" t="s">
        <v>695</v>
      </c>
    </row>
    <row r="168" spans="1:19" x14ac:dyDescent="0.3">
      <c r="A168" s="8" t="s">
        <v>694</v>
      </c>
      <c r="B168" s="8" t="s">
        <v>693</v>
      </c>
      <c r="C168" s="8" t="s">
        <v>692</v>
      </c>
      <c r="D168" s="8" t="s">
        <v>691</v>
      </c>
      <c r="E168" s="8">
        <v>2022</v>
      </c>
      <c r="F168" s="8" t="s">
        <v>690</v>
      </c>
      <c r="G168" s="8"/>
      <c r="H168" s="8"/>
      <c r="I168" s="8"/>
      <c r="J168" s="8"/>
      <c r="K168" s="8"/>
      <c r="L168" s="8">
        <v>11</v>
      </c>
      <c r="M168" s="8" t="s">
        <v>689</v>
      </c>
      <c r="N168" s="8" t="s">
        <v>688</v>
      </c>
      <c r="O168" s="8" t="s">
        <v>70</v>
      </c>
      <c r="P168" s="8" t="s">
        <v>33</v>
      </c>
      <c r="Q168" s="8"/>
      <c r="R168" s="8" t="s">
        <v>34</v>
      </c>
      <c r="S168" s="8" t="s">
        <v>687</v>
      </c>
    </row>
    <row r="169" spans="1:19" x14ac:dyDescent="0.3">
      <c r="A169" s="8" t="s">
        <v>153</v>
      </c>
      <c r="B169" s="8" t="s">
        <v>152</v>
      </c>
      <c r="C169" s="8" t="s">
        <v>151</v>
      </c>
      <c r="D169" s="8" t="s">
        <v>150</v>
      </c>
      <c r="E169" s="8">
        <v>2025</v>
      </c>
      <c r="F169" s="8" t="s">
        <v>149</v>
      </c>
      <c r="G169" s="8"/>
      <c r="H169" s="8"/>
      <c r="I169" s="8"/>
      <c r="J169" s="8">
        <v>391</v>
      </c>
      <c r="K169" s="8">
        <v>396</v>
      </c>
      <c r="L169" s="8">
        <v>0</v>
      </c>
      <c r="M169" s="8" t="s">
        <v>148</v>
      </c>
      <c r="N169" s="8" t="s">
        <v>147</v>
      </c>
      <c r="O169" s="8" t="s">
        <v>70</v>
      </c>
      <c r="P169" s="8" t="s">
        <v>33</v>
      </c>
      <c r="Q169" s="8"/>
      <c r="R169" s="8" t="s">
        <v>34</v>
      </c>
      <c r="S169" s="8" t="s">
        <v>146</v>
      </c>
    </row>
    <row r="170" spans="1:19" x14ac:dyDescent="0.3">
      <c r="A170" s="8" t="s">
        <v>686</v>
      </c>
      <c r="B170" s="8" t="s">
        <v>685</v>
      </c>
      <c r="C170" s="8" t="s">
        <v>684</v>
      </c>
      <c r="D170" s="8" t="s">
        <v>683</v>
      </c>
      <c r="E170" s="8">
        <v>2024</v>
      </c>
      <c r="F170" s="8" t="s">
        <v>124</v>
      </c>
      <c r="G170" s="8">
        <v>24</v>
      </c>
      <c r="H170" s="8">
        <v>19</v>
      </c>
      <c r="I170" s="8">
        <v>6314</v>
      </c>
      <c r="J170" s="8"/>
      <c r="K170" s="8"/>
      <c r="L170" s="8">
        <v>9</v>
      </c>
      <c r="M170" s="8" t="s">
        <v>682</v>
      </c>
      <c r="N170" s="8" t="s">
        <v>681</v>
      </c>
      <c r="O170" s="8" t="s">
        <v>32</v>
      </c>
      <c r="P170" s="8" t="s">
        <v>33</v>
      </c>
      <c r="Q170" s="8" t="s">
        <v>44</v>
      </c>
      <c r="R170" s="8" t="s">
        <v>34</v>
      </c>
      <c r="S170" s="8" t="s">
        <v>680</v>
      </c>
    </row>
    <row r="171" spans="1:19" x14ac:dyDescent="0.3">
      <c r="A171" s="8" t="s">
        <v>679</v>
      </c>
      <c r="B171" s="8" t="s">
        <v>678</v>
      </c>
      <c r="C171" s="8" t="s">
        <v>677</v>
      </c>
      <c r="D171" s="8" t="s">
        <v>676</v>
      </c>
      <c r="E171" s="8">
        <v>2022</v>
      </c>
      <c r="F171" s="8" t="s">
        <v>675</v>
      </c>
      <c r="G171" s="8">
        <v>70</v>
      </c>
      <c r="H171" s="8">
        <v>9</v>
      </c>
      <c r="I171" s="8"/>
      <c r="J171" s="8">
        <v>787</v>
      </c>
      <c r="K171" s="8">
        <v>792</v>
      </c>
      <c r="L171" s="8">
        <v>7</v>
      </c>
      <c r="M171" s="8" t="s">
        <v>674</v>
      </c>
      <c r="N171" s="8" t="s">
        <v>673</v>
      </c>
      <c r="O171" s="8" t="s">
        <v>32</v>
      </c>
      <c r="P171" s="8" t="s">
        <v>33</v>
      </c>
      <c r="Q171" s="8"/>
      <c r="R171" s="8" t="s">
        <v>34</v>
      </c>
      <c r="S171" s="8" t="s">
        <v>672</v>
      </c>
    </row>
    <row r="172" spans="1:19" x14ac:dyDescent="0.3">
      <c r="A172" s="8" t="s">
        <v>653</v>
      </c>
      <c r="B172" s="8" t="s">
        <v>654</v>
      </c>
      <c r="C172" s="8" t="s">
        <v>655</v>
      </c>
      <c r="D172" s="8" t="s">
        <v>656</v>
      </c>
      <c r="E172" s="8">
        <v>2024</v>
      </c>
      <c r="F172" s="8" t="s">
        <v>657</v>
      </c>
      <c r="G172" s="8">
        <v>190</v>
      </c>
      <c r="H172" s="8"/>
      <c r="I172" s="8">
        <v>105625</v>
      </c>
      <c r="J172" s="8"/>
      <c r="K172" s="8"/>
      <c r="L172" s="8">
        <v>8</v>
      </c>
      <c r="M172" s="8" t="s">
        <v>658</v>
      </c>
      <c r="N172" s="8" t="s">
        <v>659</v>
      </c>
      <c r="O172" s="8" t="s">
        <v>32</v>
      </c>
      <c r="P172" s="8" t="s">
        <v>33</v>
      </c>
      <c r="Q172" s="8"/>
      <c r="R172" s="8" t="s">
        <v>34</v>
      </c>
      <c r="S172" s="8" t="s">
        <v>660</v>
      </c>
    </row>
    <row r="173" spans="1:19" x14ac:dyDescent="0.3">
      <c r="A173" s="13" t="s">
        <v>24</v>
      </c>
      <c r="B173" s="13" t="s">
        <v>25</v>
      </c>
      <c r="C173" s="13" t="s">
        <v>26</v>
      </c>
      <c r="D173" s="13" t="s">
        <v>27</v>
      </c>
      <c r="E173" s="13">
        <v>2024</v>
      </c>
      <c r="F173" s="13" t="s">
        <v>28</v>
      </c>
      <c r="G173" s="13">
        <v>250</v>
      </c>
      <c r="H173" s="13"/>
      <c r="I173" s="13" t="s">
        <v>29</v>
      </c>
      <c r="J173" s="13"/>
      <c r="K173" s="13"/>
      <c r="L173" s="13">
        <v>29</v>
      </c>
      <c r="M173" s="13" t="s">
        <v>30</v>
      </c>
      <c r="N173" s="13" t="s">
        <v>31</v>
      </c>
      <c r="O173" s="13" t="s">
        <v>32</v>
      </c>
      <c r="P173" s="13" t="s">
        <v>33</v>
      </c>
      <c r="Q173" s="13"/>
      <c r="R173" s="13" t="s">
        <v>34</v>
      </c>
      <c r="S173" s="13" t="s">
        <v>35</v>
      </c>
    </row>
    <row r="174" spans="1:19" x14ac:dyDescent="0.3">
      <c r="A174" s="13" t="s">
        <v>36</v>
      </c>
      <c r="B174" s="13" t="s">
        <v>37</v>
      </c>
      <c r="C174" s="13" t="s">
        <v>38</v>
      </c>
      <c r="D174" s="13" t="s">
        <v>39</v>
      </c>
      <c r="E174" s="13">
        <v>2024</v>
      </c>
      <c r="F174" s="13" t="s">
        <v>40</v>
      </c>
      <c r="G174" s="13">
        <v>14</v>
      </c>
      <c r="H174" s="13">
        <v>8</v>
      </c>
      <c r="I174" s="13" t="s">
        <v>41</v>
      </c>
      <c r="J174" s="13"/>
      <c r="K174" s="13"/>
      <c r="L174" s="13">
        <v>8</v>
      </c>
      <c r="M174" s="13" t="s">
        <v>42</v>
      </c>
      <c r="N174" s="13" t="s">
        <v>43</v>
      </c>
      <c r="O174" s="13" t="s">
        <v>32</v>
      </c>
      <c r="P174" s="13" t="s">
        <v>33</v>
      </c>
      <c r="Q174" s="13" t="s">
        <v>44</v>
      </c>
      <c r="R174" s="13" t="s">
        <v>34</v>
      </c>
      <c r="S174" s="13" t="s">
        <v>45</v>
      </c>
    </row>
    <row r="175" spans="1:19" x14ac:dyDescent="0.3">
      <c r="A175" s="13" t="s">
        <v>54</v>
      </c>
      <c r="B175" s="13" t="s">
        <v>55</v>
      </c>
      <c r="C175" s="13" t="s">
        <v>56</v>
      </c>
      <c r="D175" s="13" t="s">
        <v>57</v>
      </c>
      <c r="E175" s="13">
        <v>2026</v>
      </c>
      <c r="F175" s="13" t="s">
        <v>40</v>
      </c>
      <c r="G175" s="13">
        <v>16</v>
      </c>
      <c r="H175" s="13">
        <v>3</v>
      </c>
      <c r="I175" s="13">
        <v>1559</v>
      </c>
      <c r="J175" s="13"/>
      <c r="K175" s="13"/>
      <c r="L175" s="13">
        <v>0</v>
      </c>
      <c r="M175" s="13" t="s">
        <v>58</v>
      </c>
      <c r="N175" s="13" t="s">
        <v>59</v>
      </c>
      <c r="O175" s="13" t="s">
        <v>32</v>
      </c>
      <c r="P175" s="13" t="s">
        <v>33</v>
      </c>
      <c r="Q175" s="13" t="s">
        <v>44</v>
      </c>
      <c r="R175" s="13" t="s">
        <v>34</v>
      </c>
      <c r="S175" s="13" t="s">
        <v>60</v>
      </c>
    </row>
    <row r="176" spans="1:19" x14ac:dyDescent="0.3">
      <c r="A176" s="13" t="s">
        <v>69</v>
      </c>
      <c r="B176" s="13" t="s">
        <v>68</v>
      </c>
      <c r="C176" s="13" t="s">
        <v>67</v>
      </c>
      <c r="D176" s="13" t="s">
        <v>66</v>
      </c>
      <c r="E176" s="13">
        <v>2025</v>
      </c>
      <c r="F176" s="13" t="s">
        <v>65</v>
      </c>
      <c r="G176" s="13">
        <v>16</v>
      </c>
      <c r="H176" s="13">
        <v>5</v>
      </c>
      <c r="I176" s="13"/>
      <c r="J176" s="13">
        <v>173</v>
      </c>
      <c r="K176" s="13">
        <v>181</v>
      </c>
      <c r="L176" s="13">
        <v>0</v>
      </c>
      <c r="M176" s="13" t="s">
        <v>64</v>
      </c>
      <c r="N176" s="13" t="s">
        <v>63</v>
      </c>
      <c r="O176" s="13" t="s">
        <v>32</v>
      </c>
      <c r="P176" s="13" t="s">
        <v>33</v>
      </c>
      <c r="Q176" s="13" t="s">
        <v>61</v>
      </c>
      <c r="R176" s="13" t="s">
        <v>34</v>
      </c>
      <c r="S176" s="13" t="s">
        <v>62</v>
      </c>
    </row>
    <row r="177" spans="1:19" x14ac:dyDescent="0.3">
      <c r="A177" s="13" t="s">
        <v>46</v>
      </c>
      <c r="B177" s="13" t="s">
        <v>47</v>
      </c>
      <c r="C177" s="13" t="s">
        <v>48</v>
      </c>
      <c r="D177" s="13" t="s">
        <v>49</v>
      </c>
      <c r="E177" s="13">
        <v>2025</v>
      </c>
      <c r="F177" s="13" t="s">
        <v>50</v>
      </c>
      <c r="G177" s="13">
        <v>12</v>
      </c>
      <c r="H177" s="13">
        <v>1</v>
      </c>
      <c r="I177" s="13">
        <v>793</v>
      </c>
      <c r="J177" s="13"/>
      <c r="K177" s="13"/>
      <c r="L177" s="13">
        <v>7</v>
      </c>
      <c r="M177" s="13" t="s">
        <v>51</v>
      </c>
      <c r="N177" s="13" t="s">
        <v>52</v>
      </c>
      <c r="O177" s="13" t="s">
        <v>32</v>
      </c>
      <c r="P177" s="13" t="s">
        <v>33</v>
      </c>
      <c r="Q177" s="13" t="s">
        <v>44</v>
      </c>
      <c r="R177" s="13" t="s">
        <v>34</v>
      </c>
      <c r="S177" s="13" t="s">
        <v>53</v>
      </c>
    </row>
    <row r="178" spans="1:19" x14ac:dyDescent="0.3">
      <c r="A178" s="13" t="s">
        <v>78</v>
      </c>
      <c r="B178" s="13" t="s">
        <v>77</v>
      </c>
      <c r="C178" s="13" t="s">
        <v>76</v>
      </c>
      <c r="D178" s="13" t="s">
        <v>75</v>
      </c>
      <c r="E178" s="13">
        <v>2025</v>
      </c>
      <c r="F178" s="26" t="s">
        <v>74</v>
      </c>
      <c r="G178" s="13"/>
      <c r="H178" s="13"/>
      <c r="I178" s="13"/>
      <c r="J178" s="13"/>
      <c r="K178" s="13"/>
      <c r="L178" s="13">
        <v>0</v>
      </c>
      <c r="M178" s="13" t="s">
        <v>73</v>
      </c>
      <c r="N178" s="13" t="s">
        <v>72</v>
      </c>
      <c r="O178" s="13" t="s">
        <v>70</v>
      </c>
      <c r="P178" s="13" t="s">
        <v>33</v>
      </c>
      <c r="Q178" s="13"/>
      <c r="R178" s="13" t="s">
        <v>34</v>
      </c>
      <c r="S178" s="13" t="s">
        <v>71</v>
      </c>
    </row>
    <row r="179" spans="1:19" x14ac:dyDescent="0.3">
      <c r="A179" s="13" t="s">
        <v>79</v>
      </c>
      <c r="B179" s="13" t="s">
        <v>80</v>
      </c>
      <c r="C179" s="13" t="s">
        <v>81</v>
      </c>
      <c r="D179" s="13" t="s">
        <v>82</v>
      </c>
      <c r="E179" s="13">
        <v>2024</v>
      </c>
      <c r="F179" s="13" t="s">
        <v>83</v>
      </c>
      <c r="G179" s="13">
        <v>16</v>
      </c>
      <c r="H179" s="13">
        <v>2</v>
      </c>
      <c r="I179" s="13">
        <v>877</v>
      </c>
      <c r="J179" s="13"/>
      <c r="K179" s="13"/>
      <c r="L179" s="13">
        <v>9</v>
      </c>
      <c r="M179" s="13" t="s">
        <v>84</v>
      </c>
      <c r="N179" s="13" t="s">
        <v>85</v>
      </c>
      <c r="O179" s="13" t="s">
        <v>32</v>
      </c>
      <c r="P179" s="13" t="s">
        <v>33</v>
      </c>
      <c r="Q179" s="13" t="s">
        <v>44</v>
      </c>
      <c r="R179" s="13" t="s">
        <v>34</v>
      </c>
      <c r="S179" s="13" t="s">
        <v>86</v>
      </c>
    </row>
    <row r="180" spans="1:19" x14ac:dyDescent="0.3">
      <c r="A180" s="13" t="s">
        <v>622</v>
      </c>
      <c r="B180" s="13" t="s">
        <v>623</v>
      </c>
      <c r="C180" s="13" t="s">
        <v>624</v>
      </c>
      <c r="D180" s="13" t="s">
        <v>625</v>
      </c>
      <c r="E180" s="13">
        <v>2024</v>
      </c>
      <c r="F180" s="13" t="s">
        <v>626</v>
      </c>
      <c r="G180" s="13"/>
      <c r="H180" s="13"/>
      <c r="I180" s="13"/>
      <c r="J180" s="13"/>
      <c r="K180" s="13"/>
      <c r="L180" s="13">
        <v>0</v>
      </c>
      <c r="M180" s="13" t="s">
        <v>627</v>
      </c>
      <c r="N180" s="25" t="s">
        <v>628</v>
      </c>
      <c r="O180" s="13" t="s">
        <v>70</v>
      </c>
      <c r="P180" s="13" t="s">
        <v>33</v>
      </c>
      <c r="Q180" s="13"/>
      <c r="R180" s="13" t="s">
        <v>34</v>
      </c>
      <c r="S180" s="13" t="s">
        <v>629</v>
      </c>
    </row>
  </sheetData>
  <hyperlinks>
    <hyperlink ref="N180" r:id="rId1" xr:uid="{E00FA482-91CA-4C5A-9CB0-878BBF017C9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29E67051DC9E419CF8D61789F007DB" ma:contentTypeVersion="9" ma:contentTypeDescription="Create a new document." ma:contentTypeScope="" ma:versionID="8d319ca3af2697c89bfbd99209cfa519">
  <xsd:schema xmlns:xsd="http://www.w3.org/2001/XMLSchema" xmlns:xs="http://www.w3.org/2001/XMLSchema" xmlns:p="http://schemas.microsoft.com/office/2006/metadata/properties" xmlns:ns3="e9c7228d-a188-482d-85c2-d882430c9e21" targetNamespace="http://schemas.microsoft.com/office/2006/metadata/properties" ma:root="true" ma:fieldsID="844214fe204fc3ebb73087ce9268c48b" ns3:_="">
    <xsd:import namespace="e9c7228d-a188-482d-85c2-d882430c9e2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c7228d-a188-482d-85c2-d882430c9e2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e9c7228d-a188-482d-85c2-d882430c9e2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831C3C-0B10-4C76-96A1-2D930907CC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c7228d-a188-482d-85c2-d882430c9e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F732CD6-2831-43F2-B4A1-0FF9F64114C4}">
  <ds:schemaRefs>
    <ds:schemaRef ds:uri="http://www.w3.org/XML/1998/namespace"/>
    <ds:schemaRef ds:uri="http://schemas.microsoft.com/office/2006/documentManagement/types"/>
    <ds:schemaRef ds:uri="http://schemas.microsoft.com/office/infopath/2007/PartnerControls"/>
    <ds:schemaRef ds:uri="http://purl.org/dc/terms/"/>
    <ds:schemaRef ds:uri="http://purl.org/dc/elements/1.1/"/>
    <ds:schemaRef ds:uri="http://schemas.openxmlformats.org/package/2006/metadata/core-properties"/>
    <ds:schemaRef ds:uri="e9c7228d-a188-482d-85c2-d882430c9e21"/>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734F3CE1-A44B-4ACF-A086-7CA167C223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Databases</vt:lpstr>
      <vt:lpstr>Reference Type</vt:lpstr>
      <vt:lpstr>Years</vt:lpstr>
      <vt:lpstr>#E&amp;QA</vt:lpstr>
      <vt:lpstr>Variations</vt:lpstr>
      <vt:lpstr>Techniques</vt:lpstr>
      <vt:lpstr>Metrics</vt:lpstr>
      <vt:lpstr>4 Included</vt:lpstr>
      <vt:lpstr>3 Eligibility</vt:lpstr>
      <vt:lpstr>2 Screening</vt:lpstr>
      <vt:lpstr>1 Identification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Farooqi Mariam</cp:lastModifiedBy>
  <dcterms:created xsi:type="dcterms:W3CDTF">2026-04-01T18:44:17Z</dcterms:created>
  <dcterms:modified xsi:type="dcterms:W3CDTF">2026-06-15T12:41:23Z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0x0101004129E67051DC9E419CF8D61789F007DB</vt:lpwstr>
  </property>
</Properties>
</file>